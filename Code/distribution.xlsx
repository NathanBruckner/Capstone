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90a8fb49572095/Documents/Liberty/2025-2026/Capstone/Code/"/>
    </mc:Choice>
  </mc:AlternateContent>
  <xr:revisionPtr revIDLastSave="0" documentId="8_{F33DE12D-2894-4E26-B853-6D79B0A3738C}" xr6:coauthVersionLast="47" xr6:coauthVersionMax="47" xr10:uidLastSave="{00000000-0000-0000-0000-000000000000}"/>
  <bookViews>
    <workbookView xWindow="-120" yWindow="-120" windowWidth="29040" windowHeight="15720" xr2:uid="{04EBEFAC-133A-4D14-8602-2CF1098884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5" i="1" l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34" i="1"/>
  <c r="C26" i="1"/>
  <c r="B25" i="1"/>
  <c r="C25" i="1" s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14" i="1"/>
  <c r="K15" i="1" l="1"/>
  <c r="N15" i="1" s="1"/>
  <c r="K14" i="1"/>
  <c r="N14" i="1" s="1"/>
  <c r="K29" i="1"/>
  <c r="N29" i="1" s="1"/>
  <c r="K28" i="1"/>
  <c r="N28" i="1" s="1"/>
  <c r="K27" i="1"/>
  <c r="N27" i="1" s="1"/>
  <c r="K26" i="1"/>
  <c r="N26" i="1" s="1"/>
  <c r="K25" i="1"/>
  <c r="N25" i="1" s="1"/>
  <c r="K24" i="1"/>
  <c r="N24" i="1" s="1"/>
  <c r="K23" i="1"/>
  <c r="N23" i="1" s="1"/>
  <c r="K22" i="1"/>
  <c r="N22" i="1" s="1"/>
  <c r="K21" i="1"/>
  <c r="N21" i="1" s="1"/>
  <c r="K20" i="1"/>
  <c r="N20" i="1" s="1"/>
  <c r="K19" i="1"/>
  <c r="N19" i="1" s="1"/>
  <c r="K18" i="1"/>
  <c r="N18" i="1" s="1"/>
  <c r="K17" i="1"/>
  <c r="N17" i="1" s="1"/>
  <c r="K16" i="1"/>
  <c r="N16" i="1" s="1"/>
  <c r="M15" i="1" l="1"/>
  <c r="M14" i="1"/>
  <c r="M18" i="1"/>
  <c r="M20" i="1"/>
  <c r="M22" i="1"/>
  <c r="M24" i="1"/>
  <c r="M25" i="1"/>
  <c r="M26" i="1"/>
  <c r="M27" i="1"/>
  <c r="M28" i="1"/>
  <c r="M29" i="1"/>
  <c r="M17" i="1"/>
  <c r="M19" i="1"/>
  <c r="M21" i="1"/>
  <c r="M23" i="1"/>
  <c r="M16" i="1"/>
</calcChain>
</file>

<file path=xl/sharedStrings.xml><?xml version="1.0" encoding="utf-8"?>
<sst xmlns="http://schemas.openxmlformats.org/spreadsheetml/2006/main" count="10" uniqueCount="10">
  <si>
    <t>Real Distance (mm)</t>
  </si>
  <si>
    <t>Test Distance (mm)</t>
  </si>
  <si>
    <t>Test Distance (in from 0)</t>
  </si>
  <si>
    <t>Tube Length</t>
  </si>
  <si>
    <t>Foam Width</t>
  </si>
  <si>
    <t>(in)</t>
  </si>
  <si>
    <t>(mm)</t>
  </si>
  <si>
    <t>Error (mm)</t>
  </si>
  <si>
    <t>% Error</t>
  </si>
  <si>
    <t>Observed Distance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</si>
</sst>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7" xfId="1" applyNumberFormat="1" applyFont="1" applyBorder="1" applyAlignment="1">
      <alignment horizontal="center"/>
    </xf>
    <xf numFmtId="164" fontId="0" fillId="0" borderId="11" xfId="1" applyNumberFormat="1" applyFont="1" applyBorder="1" applyAlignment="1">
      <alignment horizontal="center"/>
    </xf>
    <xf numFmtId="0" fontId="0" fillId="3" borderId="0" xfId="0" applyFill="1"/>
    <xf numFmtId="164" fontId="0" fillId="3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 sz="2800">
                <a:solidFill>
                  <a:schemeClr val="tx1"/>
                </a:solidFill>
              </a:rPr>
              <a:t>%</a:t>
            </a:r>
            <a:r>
              <a:rPr lang="en-US" sz="2800" baseline="0">
                <a:solidFill>
                  <a:schemeClr val="tx1"/>
                </a:solidFill>
              </a:rPr>
              <a:t> Error over Distance</a:t>
            </a:r>
          </a:p>
        </c:rich>
      </c:tx>
      <c:layout>
        <c:manualLayout>
          <c:xMode val="edge"/>
          <c:yMode val="edge"/>
          <c:x val="0.2293569211972760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2300620153268"/>
          <c:y val="0.16162541506503661"/>
          <c:w val="0.7906725750636715"/>
          <c:h val="0.6446224903559905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Sheet1!$I$34:$I$49</c:f>
              <c:numCache>
                <c:formatCode>General</c:formatCode>
                <c:ptCount val="16"/>
                <c:pt idx="0">
                  <c:v>8</c:v>
                </c:pt>
                <c:pt idx="1">
                  <c:v>7.5</c:v>
                </c:pt>
                <c:pt idx="2">
                  <c:v>7</c:v>
                </c:pt>
                <c:pt idx="3">
                  <c:v>6.5</c:v>
                </c:pt>
                <c:pt idx="4">
                  <c:v>6</c:v>
                </c:pt>
                <c:pt idx="5">
                  <c:v>5.5</c:v>
                </c:pt>
                <c:pt idx="6">
                  <c:v>5</c:v>
                </c:pt>
                <c:pt idx="7">
                  <c:v>4.5</c:v>
                </c:pt>
                <c:pt idx="8">
                  <c:v>4</c:v>
                </c:pt>
                <c:pt idx="9">
                  <c:v>3.5</c:v>
                </c:pt>
                <c:pt idx="10">
                  <c:v>3</c:v>
                </c:pt>
                <c:pt idx="11">
                  <c:v>2.5</c:v>
                </c:pt>
                <c:pt idx="12">
                  <c:v>2</c:v>
                </c:pt>
                <c:pt idx="13">
                  <c:v>1.5</c:v>
                </c:pt>
                <c:pt idx="14">
                  <c:v>1</c:v>
                </c:pt>
                <c:pt idx="15">
                  <c:v>0.5</c:v>
                </c:pt>
              </c:numCache>
            </c:numRef>
          </c:xVal>
          <c:yVal>
            <c:numRef>
              <c:f>Sheet1!$N$34:$N$49</c:f>
              <c:numCache>
                <c:formatCode>0.0%</c:formatCode>
                <c:ptCount val="16"/>
                <c:pt idx="0">
                  <c:v>-2.2601738815345617E-2</c:v>
                </c:pt>
                <c:pt idx="1">
                  <c:v>4.8695572737585411E-3</c:v>
                </c:pt>
                <c:pt idx="2">
                  <c:v>-1.2696613061155805E-2</c:v>
                </c:pt>
                <c:pt idx="3">
                  <c:v>-1.2470832932786696E-2</c:v>
                </c:pt>
                <c:pt idx="4">
                  <c:v>3.7435392489651225E-4</c:v>
                </c:pt>
                <c:pt idx="5">
                  <c:v>1.8869601786098946E-2</c:v>
                </c:pt>
                <c:pt idx="6">
                  <c:v>2.5905998554745499E-2</c:v>
                </c:pt>
                <c:pt idx="7">
                  <c:v>3.4421406730359511E-2</c:v>
                </c:pt>
                <c:pt idx="8">
                  <c:v>1.7195222881344282E-2</c:v>
                </c:pt>
                <c:pt idx="9">
                  <c:v>3.2056621664807022E-2</c:v>
                </c:pt>
                <c:pt idx="10">
                  <c:v>3.9394250699476108E-2</c:v>
                </c:pt>
                <c:pt idx="11">
                  <c:v>7.0809031917247744E-2</c:v>
                </c:pt>
                <c:pt idx="12">
                  <c:v>6.3820510808242151E-2</c:v>
                </c:pt>
                <c:pt idx="13">
                  <c:v>0.12005913912254559</c:v>
                </c:pt>
                <c:pt idx="14">
                  <c:v>0.22102033468480509</c:v>
                </c:pt>
                <c:pt idx="15">
                  <c:v>0.24736883137132629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8E-401C-B039-22F5583E9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654720"/>
        <c:axId val="2027653280"/>
      </c:scatterChart>
      <c:valAx>
        <c:axId val="2027654720"/>
        <c:scaling>
          <c:orientation val="minMax"/>
          <c:max val="9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>
                    <a:solidFill>
                      <a:schemeClr val="tx1"/>
                    </a:solidFill>
                  </a:rPr>
                  <a:t>Distance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653280"/>
        <c:crosses val="autoZero"/>
        <c:crossBetween val="midCat"/>
      </c:valAx>
      <c:valAx>
        <c:axId val="2027653280"/>
        <c:scaling>
          <c:orientation val="minMax"/>
          <c:min val="-0.30000000000000004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>
                    <a:solidFill>
                      <a:schemeClr val="tx1"/>
                    </a:solidFill>
                  </a:rPr>
                  <a:t>%</a:t>
                </a:r>
                <a:r>
                  <a:rPr lang="en-US" sz="1800" baseline="0">
                    <a:solidFill>
                      <a:schemeClr val="tx1"/>
                    </a:solidFill>
                  </a:rPr>
                  <a:t> Error</a:t>
                </a:r>
                <a:endParaRPr lang="en-US" sz="18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3.6111111111111108E-2"/>
              <c:y val="0.374647169436152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654720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405848</xdr:colOff>
      <xdr:row>12</xdr:row>
      <xdr:rowOff>33130</xdr:rowOff>
    </xdr:from>
    <xdr:to>
      <xdr:col>23</xdr:col>
      <xdr:colOff>298174</xdr:colOff>
      <xdr:row>26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BE0A7E-41B3-787E-04FA-890651F5A7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549F6-7977-4EFF-9816-9A9802DD3A32}">
  <dimension ref="A12:N49"/>
  <sheetViews>
    <sheetView tabSelected="1" topLeftCell="D7" zoomScale="115" zoomScaleNormal="115" workbookViewId="0">
      <selection activeCell="R30" sqref="R30"/>
    </sheetView>
  </sheetViews>
  <sheetFormatPr defaultRowHeight="15" x14ac:dyDescent="0.25"/>
  <cols>
    <col min="1" max="1" width="10.5703125" style="12" customWidth="1"/>
    <col min="2" max="16384" width="9.140625" style="12"/>
  </cols>
  <sheetData>
    <row r="12" spans="9:14" ht="15.75" thickBot="1" x14ac:dyDescent="0.3"/>
    <row r="13" spans="9:14" ht="60.75" thickBot="1" x14ac:dyDescent="0.3">
      <c r="I13" s="1" t="s">
        <v>2</v>
      </c>
      <c r="J13" s="2" t="s">
        <v>1</v>
      </c>
      <c r="K13" s="2" t="s">
        <v>0</v>
      </c>
      <c r="L13" s="2" t="s">
        <v>9</v>
      </c>
      <c r="M13" s="2" t="s">
        <v>7</v>
      </c>
      <c r="N13" s="3" t="s">
        <v>8</v>
      </c>
    </row>
    <row r="14" spans="9:14" x14ac:dyDescent="0.25">
      <c r="I14" s="4">
        <v>0.5</v>
      </c>
      <c r="J14" s="5">
        <f>25.4*I14</f>
        <v>12.7</v>
      </c>
      <c r="K14" s="5">
        <f>$C$25-$C$26-J14</f>
        <v>209.7405</v>
      </c>
      <c r="L14" s="5">
        <v>205</v>
      </c>
      <c r="M14" s="5">
        <f>K14-L14</f>
        <v>4.7404999999999973</v>
      </c>
      <c r="N14" s="10">
        <f>(L14-K14)/K14</f>
        <v>-2.2601738815345617E-2</v>
      </c>
    </row>
    <row r="15" spans="9:14" x14ac:dyDescent="0.25">
      <c r="I15" s="6">
        <v>1</v>
      </c>
      <c r="J15" s="7">
        <f t="shared" ref="J15:J29" si="0">25.4*I15</f>
        <v>25.4</v>
      </c>
      <c r="K15" s="7">
        <f>$C$25-$C$26-J15</f>
        <v>197.04049999999998</v>
      </c>
      <c r="L15" s="7">
        <v>198</v>
      </c>
      <c r="M15" s="7">
        <f t="shared" ref="M15:M29" si="1">K15-L15</f>
        <v>-0.95950000000001978</v>
      </c>
      <c r="N15" s="10">
        <f t="shared" ref="N15:N29" si="2">(L15-K15)/K15</f>
        <v>4.8695572737585411E-3</v>
      </c>
    </row>
    <row r="16" spans="9:14" x14ac:dyDescent="0.25">
      <c r="I16" s="6">
        <v>1.5</v>
      </c>
      <c r="J16" s="7">
        <f t="shared" si="0"/>
        <v>38.099999999999994</v>
      </c>
      <c r="K16" s="7">
        <f>$C$25-$C$26-J16</f>
        <v>184.34049999999999</v>
      </c>
      <c r="L16" s="7">
        <v>182</v>
      </c>
      <c r="M16" s="7">
        <f t="shared" si="1"/>
        <v>2.3404999999999916</v>
      </c>
      <c r="N16" s="10">
        <f t="shared" si="2"/>
        <v>-1.2696613061155805E-2</v>
      </c>
    </row>
    <row r="17" spans="1:14" x14ac:dyDescent="0.25">
      <c r="I17" s="6">
        <v>2</v>
      </c>
      <c r="J17" s="7">
        <f t="shared" si="0"/>
        <v>50.8</v>
      </c>
      <c r="K17" s="7">
        <f>$C$25-$C$26-J17</f>
        <v>171.64049999999997</v>
      </c>
      <c r="L17" s="7">
        <v>169.5</v>
      </c>
      <c r="M17" s="7">
        <f t="shared" si="1"/>
        <v>2.1404999999999745</v>
      </c>
      <c r="N17" s="10">
        <f t="shared" si="2"/>
        <v>-1.2470832932786696E-2</v>
      </c>
    </row>
    <row r="18" spans="1:14" x14ac:dyDescent="0.25">
      <c r="I18" s="6">
        <v>2.5</v>
      </c>
      <c r="J18" s="7">
        <f t="shared" si="0"/>
        <v>63.5</v>
      </c>
      <c r="K18" s="7">
        <f>$C$25-$C$26-J18</f>
        <v>158.94049999999999</v>
      </c>
      <c r="L18" s="7">
        <v>159</v>
      </c>
      <c r="M18" s="7">
        <f t="shared" si="1"/>
        <v>-5.9500000000014097E-2</v>
      </c>
      <c r="N18" s="10">
        <f t="shared" si="2"/>
        <v>3.7435392489651225E-4</v>
      </c>
    </row>
    <row r="19" spans="1:14" x14ac:dyDescent="0.25">
      <c r="I19" s="6">
        <v>3</v>
      </c>
      <c r="J19" s="7">
        <f t="shared" si="0"/>
        <v>76.199999999999989</v>
      </c>
      <c r="K19" s="7">
        <f>$C$25-$C$26-J19</f>
        <v>146.2405</v>
      </c>
      <c r="L19" s="7">
        <v>149</v>
      </c>
      <c r="M19" s="7">
        <f t="shared" si="1"/>
        <v>-2.7595000000000027</v>
      </c>
      <c r="N19" s="10">
        <f t="shared" si="2"/>
        <v>1.8869601786098946E-2</v>
      </c>
    </row>
    <row r="20" spans="1:14" x14ac:dyDescent="0.25">
      <c r="I20" s="6">
        <v>3.5</v>
      </c>
      <c r="J20" s="7">
        <f t="shared" si="0"/>
        <v>88.899999999999991</v>
      </c>
      <c r="K20" s="7">
        <f>$C$25-$C$26-J20</f>
        <v>133.54050000000001</v>
      </c>
      <c r="L20" s="7">
        <v>137</v>
      </c>
      <c r="M20" s="7">
        <f t="shared" si="1"/>
        <v>-3.4594999999999914</v>
      </c>
      <c r="N20" s="10">
        <f t="shared" si="2"/>
        <v>2.5905998554745499E-2</v>
      </c>
    </row>
    <row r="21" spans="1:14" x14ac:dyDescent="0.25">
      <c r="I21" s="6">
        <v>4</v>
      </c>
      <c r="J21" s="7">
        <f t="shared" si="0"/>
        <v>101.6</v>
      </c>
      <c r="K21" s="7">
        <f>$C$25-$C$26-J21</f>
        <v>120.84049999999999</v>
      </c>
      <c r="L21" s="7">
        <v>125</v>
      </c>
      <c r="M21" s="7">
        <f t="shared" si="1"/>
        <v>-4.1595000000000084</v>
      </c>
      <c r="N21" s="10">
        <f t="shared" si="2"/>
        <v>3.4421406730359511E-2</v>
      </c>
    </row>
    <row r="22" spans="1:14" x14ac:dyDescent="0.25">
      <c r="I22" s="6">
        <v>4.5</v>
      </c>
      <c r="J22" s="7">
        <f t="shared" si="0"/>
        <v>114.3</v>
      </c>
      <c r="K22" s="7">
        <f>$C$25-$C$26-J22</f>
        <v>108.14049999999999</v>
      </c>
      <c r="L22" s="7">
        <v>110</v>
      </c>
      <c r="M22" s="7">
        <f t="shared" si="1"/>
        <v>-1.8595000000000113</v>
      </c>
      <c r="N22" s="10">
        <f t="shared" si="2"/>
        <v>1.7195222881344282E-2</v>
      </c>
    </row>
    <row r="23" spans="1:14" x14ac:dyDescent="0.25">
      <c r="I23" s="6">
        <v>5</v>
      </c>
      <c r="J23" s="7">
        <f t="shared" si="0"/>
        <v>127</v>
      </c>
      <c r="K23" s="7">
        <f>$C$25-$C$26-J23</f>
        <v>95.440499999999986</v>
      </c>
      <c r="L23" s="7">
        <v>98.5</v>
      </c>
      <c r="M23" s="7">
        <f t="shared" si="1"/>
        <v>-3.0595000000000141</v>
      </c>
      <c r="N23" s="10">
        <f t="shared" si="2"/>
        <v>3.2056621664807022E-2</v>
      </c>
    </row>
    <row r="24" spans="1:14" x14ac:dyDescent="0.25">
      <c r="B24" s="12" t="s">
        <v>5</v>
      </c>
      <c r="C24" s="12" t="s">
        <v>6</v>
      </c>
      <c r="I24" s="6">
        <v>5.5</v>
      </c>
      <c r="J24" s="7">
        <f t="shared" si="0"/>
        <v>139.69999999999999</v>
      </c>
      <c r="K24" s="7">
        <f>$C$25-$C$26-J24</f>
        <v>82.740499999999997</v>
      </c>
      <c r="L24" s="7">
        <v>86</v>
      </c>
      <c r="M24" s="7">
        <f t="shared" si="1"/>
        <v>-3.2595000000000027</v>
      </c>
      <c r="N24" s="10">
        <f t="shared" si="2"/>
        <v>3.9394250699476108E-2</v>
      </c>
    </row>
    <row r="25" spans="1:14" x14ac:dyDescent="0.25">
      <c r="A25" s="12" t="s">
        <v>3</v>
      </c>
      <c r="B25" s="12">
        <f>8+15/16</f>
        <v>8.9375</v>
      </c>
      <c r="C25" s="12">
        <f>25.4*B25</f>
        <v>227.01249999999999</v>
      </c>
      <c r="I25" s="6">
        <v>6</v>
      </c>
      <c r="J25" s="7">
        <f t="shared" si="0"/>
        <v>152.39999999999998</v>
      </c>
      <c r="K25" s="7">
        <f>$C$25-$C$26-J25</f>
        <v>70.040500000000009</v>
      </c>
      <c r="L25" s="7">
        <v>75</v>
      </c>
      <c r="M25" s="7">
        <f t="shared" si="1"/>
        <v>-4.9594999999999914</v>
      </c>
      <c r="N25" s="10">
        <f t="shared" si="2"/>
        <v>7.0809031917247744E-2</v>
      </c>
    </row>
    <row r="26" spans="1:14" x14ac:dyDescent="0.25">
      <c r="A26" s="12" t="s">
        <v>4</v>
      </c>
      <c r="B26" s="12">
        <v>0.18</v>
      </c>
      <c r="C26" s="12">
        <f>25.4*B26</f>
        <v>4.5719999999999992</v>
      </c>
      <c r="I26" s="6">
        <v>6.5</v>
      </c>
      <c r="J26" s="7">
        <f t="shared" si="0"/>
        <v>165.1</v>
      </c>
      <c r="K26" s="7">
        <f>$C$25-$C$26-J26</f>
        <v>57.340499999999992</v>
      </c>
      <c r="L26" s="7">
        <v>61</v>
      </c>
      <c r="M26" s="7">
        <f t="shared" si="1"/>
        <v>-3.6595000000000084</v>
      </c>
      <c r="N26" s="10">
        <f t="shared" si="2"/>
        <v>6.3820510808242151E-2</v>
      </c>
    </row>
    <row r="27" spans="1:14" x14ac:dyDescent="0.25">
      <c r="I27" s="6">
        <v>7</v>
      </c>
      <c r="J27" s="7">
        <f t="shared" si="0"/>
        <v>177.79999999999998</v>
      </c>
      <c r="K27" s="7">
        <f>$C$25-$C$26-J27</f>
        <v>44.640500000000003</v>
      </c>
      <c r="L27" s="7">
        <v>50</v>
      </c>
      <c r="M27" s="7">
        <f t="shared" si="1"/>
        <v>-5.359499999999997</v>
      </c>
      <c r="N27" s="10">
        <f t="shared" si="2"/>
        <v>0.12005913912254559</v>
      </c>
    </row>
    <row r="28" spans="1:14" x14ac:dyDescent="0.25">
      <c r="I28" s="6">
        <v>7.5</v>
      </c>
      <c r="J28" s="7">
        <f t="shared" si="0"/>
        <v>190.5</v>
      </c>
      <c r="K28" s="7">
        <f>$C$25-$C$26-J28</f>
        <v>31.940499999999986</v>
      </c>
      <c r="L28" s="7">
        <v>39</v>
      </c>
      <c r="M28" s="7">
        <f t="shared" si="1"/>
        <v>-7.0595000000000141</v>
      </c>
      <c r="N28" s="10">
        <f t="shared" si="2"/>
        <v>0.22102033468480509</v>
      </c>
    </row>
    <row r="29" spans="1:14" ht="15.75" thickBot="1" x14ac:dyDescent="0.3">
      <c r="I29" s="8">
        <v>8</v>
      </c>
      <c r="J29" s="9">
        <f t="shared" si="0"/>
        <v>203.2</v>
      </c>
      <c r="K29" s="9">
        <f>$C$25-$C$26-J29</f>
        <v>19.240499999999997</v>
      </c>
      <c r="L29" s="9">
        <v>24</v>
      </c>
      <c r="M29" s="9">
        <f t="shared" si="1"/>
        <v>-4.7595000000000027</v>
      </c>
      <c r="N29" s="11">
        <f t="shared" si="2"/>
        <v>0.24736883137132629</v>
      </c>
    </row>
    <row r="34" spans="7:14" x14ac:dyDescent="0.25">
      <c r="G34" s="6">
        <v>8</v>
      </c>
      <c r="I34" s="6">
        <v>8</v>
      </c>
      <c r="N34" s="13">
        <f>N14</f>
        <v>-2.2601738815345617E-2</v>
      </c>
    </row>
    <row r="35" spans="7:14" x14ac:dyDescent="0.25">
      <c r="G35" s="6">
        <v>7.5</v>
      </c>
      <c r="I35" s="6">
        <v>7.5</v>
      </c>
      <c r="N35" s="13">
        <f t="shared" ref="N35:N49" si="3">N15</f>
        <v>4.8695572737585411E-3</v>
      </c>
    </row>
    <row r="36" spans="7:14" x14ac:dyDescent="0.25">
      <c r="G36" s="6">
        <v>7</v>
      </c>
      <c r="I36" s="6">
        <v>7</v>
      </c>
      <c r="N36" s="13">
        <f t="shared" si="3"/>
        <v>-1.2696613061155805E-2</v>
      </c>
    </row>
    <row r="37" spans="7:14" x14ac:dyDescent="0.25">
      <c r="G37" s="6">
        <v>6.5</v>
      </c>
      <c r="I37" s="6">
        <v>6.5</v>
      </c>
      <c r="N37" s="13">
        <f t="shared" si="3"/>
        <v>-1.2470832932786696E-2</v>
      </c>
    </row>
    <row r="38" spans="7:14" x14ac:dyDescent="0.25">
      <c r="G38" s="6">
        <v>6</v>
      </c>
      <c r="I38" s="6">
        <v>6</v>
      </c>
      <c r="N38" s="13">
        <f t="shared" si="3"/>
        <v>3.7435392489651225E-4</v>
      </c>
    </row>
    <row r="39" spans="7:14" x14ac:dyDescent="0.25">
      <c r="G39" s="6">
        <v>5.5</v>
      </c>
      <c r="I39" s="6">
        <v>5.5</v>
      </c>
      <c r="N39" s="13">
        <f t="shared" si="3"/>
        <v>1.8869601786098946E-2</v>
      </c>
    </row>
    <row r="40" spans="7:14" x14ac:dyDescent="0.25">
      <c r="G40" s="6">
        <v>5</v>
      </c>
      <c r="I40" s="6">
        <v>5</v>
      </c>
      <c r="N40" s="13">
        <f t="shared" si="3"/>
        <v>2.5905998554745499E-2</v>
      </c>
    </row>
    <row r="41" spans="7:14" x14ac:dyDescent="0.25">
      <c r="G41" s="6">
        <v>4.5</v>
      </c>
      <c r="I41" s="6">
        <v>4.5</v>
      </c>
      <c r="N41" s="13">
        <f t="shared" si="3"/>
        <v>3.4421406730359511E-2</v>
      </c>
    </row>
    <row r="42" spans="7:14" x14ac:dyDescent="0.25">
      <c r="G42" s="6">
        <v>4</v>
      </c>
      <c r="I42" s="6">
        <v>4</v>
      </c>
      <c r="N42" s="13">
        <f t="shared" si="3"/>
        <v>1.7195222881344282E-2</v>
      </c>
    </row>
    <row r="43" spans="7:14" x14ac:dyDescent="0.25">
      <c r="G43" s="6">
        <v>3.5</v>
      </c>
      <c r="I43" s="6">
        <v>3.5</v>
      </c>
      <c r="N43" s="13">
        <f t="shared" si="3"/>
        <v>3.2056621664807022E-2</v>
      </c>
    </row>
    <row r="44" spans="7:14" x14ac:dyDescent="0.25">
      <c r="G44" s="6">
        <v>3</v>
      </c>
      <c r="I44" s="6">
        <v>3</v>
      </c>
      <c r="N44" s="13">
        <f t="shared" si="3"/>
        <v>3.9394250699476108E-2</v>
      </c>
    </row>
    <row r="45" spans="7:14" x14ac:dyDescent="0.25">
      <c r="G45" s="6">
        <v>2.5</v>
      </c>
      <c r="I45" s="6">
        <v>2.5</v>
      </c>
      <c r="N45" s="13">
        <f t="shared" si="3"/>
        <v>7.0809031917247744E-2</v>
      </c>
    </row>
    <row r="46" spans="7:14" x14ac:dyDescent="0.25">
      <c r="G46" s="6">
        <v>2</v>
      </c>
      <c r="I46" s="6">
        <v>2</v>
      </c>
      <c r="N46" s="13">
        <f t="shared" si="3"/>
        <v>6.3820510808242151E-2</v>
      </c>
    </row>
    <row r="47" spans="7:14" x14ac:dyDescent="0.25">
      <c r="G47" s="6">
        <v>1.5</v>
      </c>
      <c r="I47" s="6">
        <v>1.5</v>
      </c>
      <c r="N47" s="13">
        <f t="shared" si="3"/>
        <v>0.12005913912254559</v>
      </c>
    </row>
    <row r="48" spans="7:14" ht="15.75" thickBot="1" x14ac:dyDescent="0.3">
      <c r="G48" s="8">
        <v>1</v>
      </c>
      <c r="I48" s="8">
        <v>1</v>
      </c>
      <c r="N48" s="13">
        <f t="shared" si="3"/>
        <v>0.22102033468480509</v>
      </c>
    </row>
    <row r="49" spans="7:14" x14ac:dyDescent="0.25">
      <c r="G49" s="4">
        <v>0.5</v>
      </c>
      <c r="I49" s="4">
        <v>0.5</v>
      </c>
      <c r="N49" s="13">
        <f t="shared" si="3"/>
        <v>0.24736883137132629</v>
      </c>
    </row>
  </sheetData>
  <sortState xmlns:xlrd2="http://schemas.microsoft.com/office/spreadsheetml/2017/richdata2" ref="G34:G48">
    <sortCondition descending="1" ref="G33:G48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Bruckner, Nathan Dean</dc:creator>
  <cp:lastModifiedBy>Bruckner, Nathan Dean</cp:lastModifiedBy>
  <dcterms:created xsi:type="dcterms:W3CDTF">2026-02-08T20:07:23Z</dcterms:created>
  <dcterms:modified xsi:type="dcterms:W3CDTF">2026-02-08T21:04:07Z</dcterms:modified>
</cp:coreProperties>
</file>