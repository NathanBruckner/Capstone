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90a8fb49572095/Documents/Liberty/2025-2026/Capstone/POs/"/>
    </mc:Choice>
  </mc:AlternateContent>
  <xr:revisionPtr revIDLastSave="3" documentId="13_ncr:1_{94A0249E-AA77-417F-9A47-4B278E335DB8}" xr6:coauthVersionLast="47" xr6:coauthVersionMax="47" xr10:uidLastSave="{58C601B6-D2DC-4FBA-9625-E970C9BBA6A6}"/>
  <bookViews>
    <workbookView xWindow="-28920" yWindow="-120" windowWidth="29040" windowHeight="15840" tabRatio="668" activeTab="2" xr2:uid="{44E0FC39-62C5-483B-8D58-B139042F53F7}"/>
  </bookViews>
  <sheets>
    <sheet name="Instructions" sheetId="10" r:id="rId1"/>
    <sheet name="Capstone Budget Tracking" sheetId="13" r:id="rId2"/>
    <sheet name="PO1" sheetId="12" r:id="rId3"/>
    <sheet name="PO2" sheetId="14" r:id="rId4"/>
    <sheet name="PO3" sheetId="15" r:id="rId5"/>
    <sheet name="PO4" sheetId="16" r:id="rId6"/>
    <sheet name="PO5" sheetId="17" r:id="rId7"/>
    <sheet name="PO6" sheetId="19" r:id="rId8"/>
    <sheet name="PO7" sheetId="18" r:id="rId9"/>
    <sheet name="Vendor List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3" l="1"/>
  <c r="C13" i="13"/>
  <c r="C12" i="13"/>
  <c r="C11" i="13"/>
  <c r="C10" i="13"/>
  <c r="C9" i="13"/>
  <c r="A14" i="13"/>
  <c r="A13" i="13"/>
  <c r="A12" i="13"/>
  <c r="A11" i="13"/>
  <c r="A10" i="13"/>
  <c r="A9" i="13"/>
  <c r="B14" i="13"/>
  <c r="B13" i="13"/>
  <c r="B12" i="13"/>
  <c r="B11" i="13"/>
  <c r="B10" i="13"/>
  <c r="B9" i="13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28" i="18" s="1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28" i="19" s="1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28" i="17" s="1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28" i="16" s="1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28" i="15" s="1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28" i="14" s="1"/>
  <c r="A8" i="13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B8" i="13" l="1"/>
  <c r="J28" i="12" l="1"/>
  <c r="C8" i="13" s="1"/>
  <c r="C16" i="13" l="1"/>
</calcChain>
</file>

<file path=xl/sharedStrings.xml><?xml version="1.0" encoding="utf-8"?>
<sst xmlns="http://schemas.openxmlformats.org/spreadsheetml/2006/main" count="167" uniqueCount="58">
  <si>
    <t>VENDOR</t>
  </si>
  <si>
    <t>PCB</t>
  </si>
  <si>
    <t>AMAZON</t>
  </si>
  <si>
    <t>DIGIKEY</t>
  </si>
  <si>
    <t>GRANGER</t>
  </si>
  <si>
    <t>MCMASTER-CARR</t>
  </si>
  <si>
    <t>MOUSER</t>
  </si>
  <si>
    <t>EXCEPTIONS</t>
  </si>
  <si>
    <t>NEWARK</t>
  </si>
  <si>
    <t>NOTES</t>
  </si>
  <si>
    <t>PO#</t>
  </si>
  <si>
    <t>CAPSTONE BUDGET TRACKING</t>
  </si>
  <si>
    <t>DATE</t>
  </si>
  <si>
    <t>MM/DD/YYYY</t>
  </si>
  <si>
    <t>CAPSTONE PURCHASE REQUEST DETAILS</t>
  </si>
  <si>
    <t>HOMEDEPOT/LOWES</t>
  </si>
  <si>
    <t>ORDER TOTAL</t>
  </si>
  <si>
    <t>Team #:</t>
  </si>
  <si>
    <t>Project:</t>
  </si>
  <si>
    <t>Date:</t>
  </si>
  <si>
    <t>Part Name</t>
  </si>
  <si>
    <t>Part Description</t>
  </si>
  <si>
    <t>Vendor</t>
  </si>
  <si>
    <t>Vendor Part Number</t>
  </si>
  <si>
    <t>Vendor Part URL</t>
  </si>
  <si>
    <t>Quantity</t>
  </si>
  <si>
    <t>Unit Price</t>
  </si>
  <si>
    <t>Total</t>
  </si>
  <si>
    <t>Total:</t>
  </si>
  <si>
    <t>Order Total:</t>
  </si>
  <si>
    <t>Shipping</t>
  </si>
  <si>
    <t>PO #:</t>
  </si>
  <si>
    <t>No.</t>
  </si>
  <si>
    <t>NHD-0216K1Z-NSW-BBW-L</t>
  </si>
  <si>
    <t>LCD Display</t>
  </si>
  <si>
    <t>1548-NHD-0216K1Z-NSW-BBW-L-ND</t>
  </si>
  <si>
    <t>https://www.digikey.com/en/products/detail/newhaven-display-intl/NHD-0216K1Z-NSW-BBW-L/1701179</t>
  </si>
  <si>
    <t>https://www.digikey.com/en/products/detail/sparkfun-electronics/20359/16688101</t>
  </si>
  <si>
    <t>1568-20359-ND</t>
  </si>
  <si>
    <t>https://www.digikey.com/en/products/detail/dfrobot/DFR0571/9559261</t>
  </si>
  <si>
    <t>Buck converter</t>
  </si>
  <si>
    <t>DFR0571</t>
  </si>
  <si>
    <t>Teensy 4.1 MCU</t>
  </si>
  <si>
    <t>https://www.digikey.com/en/products/detail/texas-instruments/PCF8575DBR/754551?s=N4IgTCBcDaIAoGEBiAOArAdjQEQEICUQBdAXyA</t>
  </si>
  <si>
    <t>1738-1442-ND</t>
  </si>
  <si>
    <t>296-17856-1-ND</t>
  </si>
  <si>
    <t>SCL Breakout Module</t>
  </si>
  <si>
    <t>PCF8575DBR</t>
  </si>
  <si>
    <t>FTS Railroad Battery-Powered Gauge Spreader</t>
  </si>
  <si>
    <t>M9</t>
  </si>
  <si>
    <t>Si2319CDS</t>
  </si>
  <si>
    <t>N-channel MOSFET</t>
  </si>
  <si>
    <t>SI2319CDS-T1-GE3CT-ND</t>
  </si>
  <si>
    <t>https://www.digikey.com/en/products/detail/vishay-siliconix/SI2319CDS-T1-GE3/2441585</t>
  </si>
  <si>
    <t>https://www.digikey.com/en/products/detail/adafruit-industries-llc/5396/16129669?gad_source=1&amp;gad_campaignid=20243136172&amp;gbraid=0AAAAADrbLliYomKhH2MAZtF1d7mkzJeC-&amp;gclid=CjwKCAiA2svIBhB-EiwARWDPjpoteOdCtYNSVeh3CPaCDWcyfS1sxL7Xs-_vgdgkHXA3fmvWy2yoZhoCHvsQAvD_BwE&amp;gclsrc=aw.ds</t>
  </si>
  <si>
    <t>1528-5396-ND</t>
  </si>
  <si>
    <t>Laser Measurement System</t>
  </si>
  <si>
    <t>STEMMAQT VL53L4CD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</si>
</sst>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16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4" fontId="0" fillId="0" borderId="11" xfId="0" applyNumberFormat="1" applyBorder="1" applyAlignment="1">
      <alignment horizontal="right"/>
    </xf>
    <xf numFmtId="164" fontId="0" fillId="0" borderId="20" xfId="0" applyNumberFormat="1" applyBorder="1"/>
    <xf numFmtId="4" fontId="0" fillId="0" borderId="12" xfId="0" applyNumberFormat="1" applyBorder="1" applyAlignment="1">
      <alignment horizontal="right"/>
    </xf>
    <xf numFmtId="164" fontId="1" fillId="2" borderId="9" xfId="0" applyNumberFormat="1" applyFont="1" applyFill="1" applyBorder="1"/>
    <xf numFmtId="164" fontId="0" fillId="0" borderId="20" xfId="0" applyNumberFormat="1" applyBorder="1" applyAlignment="1">
      <alignment horizontal="center"/>
    </xf>
    <xf numFmtId="164" fontId="2" fillId="2" borderId="23" xfId="0" applyNumberFormat="1" applyFont="1" applyFill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164" fontId="1" fillId="0" borderId="14" xfId="0" applyNumberFormat="1" applyFon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2" fillId="5" borderId="1" xfId="0" applyFont="1" applyFill="1" applyBorder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5" borderId="4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center" wrapText="1"/>
    </xf>
    <xf numFmtId="164" fontId="0" fillId="0" borderId="12" xfId="0" applyNumberFormat="1" applyBorder="1" applyAlignment="1">
      <alignment horizontal="right"/>
    </xf>
    <xf numFmtId="164" fontId="1" fillId="4" borderId="12" xfId="0" applyNumberFormat="1" applyFont="1" applyFill="1" applyBorder="1" applyAlignment="1">
      <alignment horizontal="right"/>
    </xf>
    <xf numFmtId="0" fontId="0" fillId="0" borderId="16" xfId="0" applyBorder="1" applyAlignment="1">
      <alignment horizontal="center" vertical="top"/>
    </xf>
    <xf numFmtId="1" fontId="7" fillId="0" borderId="11" xfId="1" applyNumberFormat="1" applyBorder="1" applyAlignment="1">
      <alignment horizontal="center"/>
    </xf>
    <xf numFmtId="0" fontId="0" fillId="0" borderId="11" xfId="0" applyBorder="1" applyAlignment="1">
      <alignment horizontal="left" wrapText="1"/>
    </xf>
    <xf numFmtId="0" fontId="2" fillId="2" borderId="17" xfId="0" applyFont="1" applyFill="1" applyBorder="1" applyAlignment="1">
      <alignment horizontal="right"/>
    </xf>
    <xf numFmtId="0" fontId="2" fillId="2" borderId="22" xfId="0" applyFont="1" applyFill="1" applyBorder="1" applyAlignment="1">
      <alignment horizontal="right"/>
    </xf>
    <xf numFmtId="0" fontId="0" fillId="3" borderId="24" xfId="0" applyFill="1" applyBorder="1" applyAlignment="1">
      <alignment horizontal="center"/>
    </xf>
    <xf numFmtId="0" fontId="0" fillId="3" borderId="25" xfId="0" applyFill="1" applyBorder="1"/>
    <xf numFmtId="0" fontId="0" fillId="3" borderId="26" xfId="0" applyFill="1" applyBorder="1"/>
    <xf numFmtId="164" fontId="1" fillId="0" borderId="19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0" fontId="3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2" fillId="0" borderId="6" xfId="0" applyFon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3" fillId="5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4" fillId="4" borderId="24" xfId="0" applyFont="1" applyFill="1" applyBorder="1" applyAlignment="1">
      <alignment horizontal="right" wrapText="1"/>
    </xf>
    <xf numFmtId="0" fontId="0" fillId="0" borderId="25" xfId="0" applyBorder="1"/>
    <xf numFmtId="0" fontId="0" fillId="0" borderId="21" xfId="0" applyBorder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7938</xdr:colOff>
      <xdr:row>1</xdr:row>
      <xdr:rowOff>87312</xdr:rowOff>
    </xdr:from>
    <xdr:to>
      <xdr:col>12</xdr:col>
      <xdr:colOff>7938</xdr:colOff>
      <xdr:row>89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168467-D54B-4210-8491-C72201367F7D}"/>
            </a:ext>
          </a:extLst>
        </xdr:cNvPr>
        <xdr:cNvSpPr txBox="1"/>
      </xdr:nvSpPr>
      <xdr:spPr>
        <a:xfrm>
          <a:off x="255588" y="277812"/>
          <a:ext cx="6705600" cy="167814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200" b="1">
              <a:effectLst/>
              <a:latin typeface="Calibri" panose="020F0502020204030204" pitchFamily="34" charset="0"/>
              <a:ea typeface="Calibri" panose="020F0502020204030204" pitchFamily="34" charset="0"/>
            </a:rPr>
            <a:t>CAPSTONE</a:t>
          </a:r>
          <a:r>
            <a:rPr lang="en-US" sz="1200" b="1" baseline="0">
              <a:effectLst/>
              <a:latin typeface="Calibri" panose="020F0502020204030204" pitchFamily="34" charset="0"/>
              <a:ea typeface="Calibri" panose="020F0502020204030204" pitchFamily="34" charset="0"/>
            </a:rPr>
            <a:t> </a:t>
          </a:r>
          <a:r>
            <a:rPr lang="en-US" sz="1200" b="1">
              <a:effectLst/>
              <a:latin typeface="Calibri" panose="020F0502020204030204" pitchFamily="34" charset="0"/>
              <a:ea typeface="Calibri" panose="020F0502020204030204" pitchFamily="34" charset="0"/>
            </a:rPr>
            <a:t>PURCHASE REQUEST DETAILS</a:t>
          </a: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200" b="1">
              <a:effectLst/>
              <a:latin typeface="Calibri" panose="020F0502020204030204" pitchFamily="34" charset="0"/>
              <a:ea typeface="Calibri" panose="020F0502020204030204" pitchFamily="34" charset="0"/>
            </a:rPr>
            <a:t> </a:t>
          </a: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For each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purchase request, create a purchase order (PO) by filling out the details of the parts to be purchased, including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Name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Description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Vendor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Vendor Part Number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Vendor Part URL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Quantity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 Price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and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Shipping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 (known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estimated)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If a vendor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be used is not in the vendor list, choose "Exceptions" and provide a brief justification in the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endParaRPr lang="en-US">
            <a:effectLst/>
          </a:endParaRPr>
        </a:p>
        <a:p>
          <a:r>
            <a:rPr lang="en-US" sz="1100"/>
            <a:t>2. Students should be thoughtful</a:t>
          </a:r>
          <a:r>
            <a:rPr lang="en-US" sz="1100" baseline="0"/>
            <a:t> when submitting purchase requests, which should be consolidated into as fewer POs as possible.</a:t>
          </a:r>
        </a:p>
        <a:p>
          <a:endParaRPr lang="en-US" sz="1100" baseline="0"/>
        </a:p>
        <a:p>
          <a:r>
            <a:rPr lang="en-US" sz="1100"/>
            <a:t>3. The "CAPSTONE BUDGET TRACKING" tab shows the total of</a:t>
          </a:r>
          <a:r>
            <a:rPr lang="en-US" sz="1100" baseline="0"/>
            <a:t> each PO and the project total expenditures.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dfrobot/DFR0571/9559261" TargetMode="External"/><Relationship Id="rId2" Type="http://schemas.openxmlformats.org/officeDocument/2006/relationships/hyperlink" Target="https://www.digikey.com/en/products/detail/newhaven-display-intl/NHD-0216K1Z-NSW-BBW-L/1701179" TargetMode="External"/><Relationship Id="rId1" Type="http://schemas.openxmlformats.org/officeDocument/2006/relationships/hyperlink" Target="https://www.digikey.com/en/products/detail/sparkfun-electronics/20359/16688101" TargetMode="External"/><Relationship Id="rId6" Type="http://schemas.openxmlformats.org/officeDocument/2006/relationships/hyperlink" Target="https://www.digikey.com/en/products/detail/adafruit-industries-llc/5396/16129669?gad_source=1&amp;gad_campaignid=20243136172&amp;gbraid=0AAAAADrbLliYomKhH2MAZtF1d7mkzJeC-&amp;gclid=CjwKCAiA2svIBhB-EiwARWDPjpoteOdCtYNSVeh3CPaCDWcyfS1sxL7Xs-_vgdgkHXA3fmvWy2yoZhoCHvsQAvD_BwE&amp;gclsrc=aw.ds" TargetMode="External"/><Relationship Id="rId5" Type="http://schemas.openxmlformats.org/officeDocument/2006/relationships/hyperlink" Target="https://www.digikey.com/en/products/detail/vishay-siliconix/SI2319CDS-T1-GE3/2441585" TargetMode="External"/><Relationship Id="rId4" Type="http://schemas.openxmlformats.org/officeDocument/2006/relationships/hyperlink" Target="https://www.digikey.com/en/products/detail/texas-instruments/PCF8575DBR/754551?s=N4IgTCBcDaIAoGEBiAOArAdjQEQEICUQ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A969-DF91-4C17-B011-2A2F4DAA2272}">
  <sheetPr>
    <tabColor rgb="FFFFC000"/>
  </sheetPr>
  <dimension ref="A1"/>
  <sheetViews>
    <sheetView workbookViewId="0">
      <selection activeCell="R18" sqref="R18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C1E3-F01C-4E5F-B92B-997FCD48FEE5}">
  <sheetPr>
    <tabColor theme="6" tint="0.59999389629810485"/>
  </sheetPr>
  <dimension ref="A1:E16"/>
  <sheetViews>
    <sheetView workbookViewId="0">
      <selection activeCell="A15" sqref="A15:D15"/>
    </sheetView>
  </sheetViews>
  <sheetFormatPr defaultColWidth="9" defaultRowHeight="15" x14ac:dyDescent="0.25"/>
  <cols>
    <col min="1" max="1" width="11.28515625" customWidth="1"/>
    <col min="2" max="2" width="19.42578125" style="5" customWidth="1"/>
    <col min="3" max="3" width="27.42578125" style="2" customWidth="1"/>
    <col min="4" max="4" width="40.85546875" style="2" customWidth="1"/>
  </cols>
  <sheetData>
    <row r="1" spans="1:5" s="8" customFormat="1" ht="21" x14ac:dyDescent="0.25">
      <c r="A1" s="6" t="s">
        <v>18</v>
      </c>
      <c r="B1" s="45"/>
      <c r="C1" s="46"/>
      <c r="D1" s="47"/>
      <c r="E1" s="7"/>
    </row>
    <row r="2" spans="1:5" s="8" customFormat="1" ht="21" x14ac:dyDescent="0.25">
      <c r="A2" s="9" t="s">
        <v>17</v>
      </c>
      <c r="B2" s="48"/>
      <c r="C2" s="49"/>
      <c r="D2" s="50"/>
      <c r="E2" s="7"/>
    </row>
    <row r="3" spans="1:5" s="8" customFormat="1" ht="15" customHeight="1" thickBot="1" x14ac:dyDescent="0.3">
      <c r="A3" s="51"/>
      <c r="B3" s="52"/>
      <c r="C3" s="52"/>
      <c r="D3" s="53"/>
      <c r="E3" s="7"/>
    </row>
    <row r="4" spans="1:5" x14ac:dyDescent="0.25">
      <c r="A4" s="54" t="s">
        <v>11</v>
      </c>
      <c r="B4" s="55"/>
      <c r="C4" s="55"/>
      <c r="D4" s="56"/>
    </row>
    <row r="5" spans="1:5" ht="15.75" thickBot="1" x14ac:dyDescent="0.3">
      <c r="A5" s="57"/>
      <c r="B5" s="58"/>
      <c r="C5" s="58"/>
      <c r="D5" s="59"/>
    </row>
    <row r="6" spans="1:5" x14ac:dyDescent="0.25">
      <c r="A6" s="60" t="s">
        <v>10</v>
      </c>
      <c r="B6" s="62" t="s">
        <v>12</v>
      </c>
      <c r="C6" s="41" t="s">
        <v>16</v>
      </c>
      <c r="D6" s="43" t="s">
        <v>9</v>
      </c>
    </row>
    <row r="7" spans="1:5" s="1" customFormat="1" x14ac:dyDescent="0.25">
      <c r="A7" s="61"/>
      <c r="B7" s="63"/>
      <c r="C7" s="42"/>
      <c r="D7" s="44"/>
    </row>
    <row r="8" spans="1:5" x14ac:dyDescent="0.25">
      <c r="A8" s="10">
        <f>'PO1'!B3</f>
        <v>1</v>
      </c>
      <c r="B8" s="25">
        <f>'PO1'!B4</f>
        <v>45972</v>
      </c>
      <c r="C8" s="18">
        <f>'PO1'!J28</f>
        <v>69.450000000000017</v>
      </c>
      <c r="D8" s="16"/>
    </row>
    <row r="9" spans="1:5" x14ac:dyDescent="0.25">
      <c r="A9" s="10">
        <f>'PO2'!B3</f>
        <v>2</v>
      </c>
      <c r="B9" s="25" t="str">
        <f>'PO2'!B4</f>
        <v>MM/DD/YYYY</v>
      </c>
      <c r="C9" s="18">
        <f>'PO2'!J28</f>
        <v>0</v>
      </c>
      <c r="D9" s="16"/>
    </row>
    <row r="10" spans="1:5" x14ac:dyDescent="0.25">
      <c r="A10" s="10">
        <f>'PO3'!B3</f>
        <v>3</v>
      </c>
      <c r="B10" s="25" t="str">
        <f>'PO3'!B4</f>
        <v>MM/DD/YYYY</v>
      </c>
      <c r="C10" s="18">
        <f>'PO3'!J28</f>
        <v>0</v>
      </c>
      <c r="D10" s="16"/>
    </row>
    <row r="11" spans="1:5" x14ac:dyDescent="0.25">
      <c r="A11" s="10">
        <f>'PO4'!B3</f>
        <v>4</v>
      </c>
      <c r="B11" s="25" t="str">
        <f>'PO4'!B4</f>
        <v>MM/DD/YYYY</v>
      </c>
      <c r="C11" s="18">
        <f>'PO4'!J28</f>
        <v>0</v>
      </c>
      <c r="D11" s="16"/>
    </row>
    <row r="12" spans="1:5" x14ac:dyDescent="0.25">
      <c r="A12" s="10">
        <f>'PO5'!B3</f>
        <v>5</v>
      </c>
      <c r="B12" s="25" t="str">
        <f>'PO5'!B4</f>
        <v>MM/DD/YYYY</v>
      </c>
      <c r="C12" s="18">
        <f>'PO5'!J28</f>
        <v>0</v>
      </c>
      <c r="D12" s="16"/>
    </row>
    <row r="13" spans="1:5" x14ac:dyDescent="0.25">
      <c r="A13" s="10">
        <f>'PO6'!B3</f>
        <v>6</v>
      </c>
      <c r="B13" s="25" t="str">
        <f>'PO6'!B4</f>
        <v>MM/DD/YYYY</v>
      </c>
      <c r="C13" s="18">
        <f>'PO6'!J28</f>
        <v>0</v>
      </c>
      <c r="D13" s="16"/>
    </row>
    <row r="14" spans="1:5" x14ac:dyDescent="0.25">
      <c r="A14" s="10">
        <f>'PO7'!B3</f>
        <v>7</v>
      </c>
      <c r="B14" s="25" t="str">
        <f>'PO7'!B4</f>
        <v>MM/DD/YYYY</v>
      </c>
      <c r="C14" s="18">
        <f>'PO7'!J28</f>
        <v>0</v>
      </c>
      <c r="D14" s="16"/>
    </row>
    <row r="15" spans="1:5" ht="9.9499999999999993" customHeight="1" x14ac:dyDescent="0.25">
      <c r="A15" s="38"/>
      <c r="B15" s="39"/>
      <c r="C15" s="39"/>
      <c r="D15" s="40"/>
    </row>
    <row r="16" spans="1:5" ht="24" customHeight="1" thickBot="1" x14ac:dyDescent="0.4">
      <c r="A16" s="36" t="s">
        <v>28</v>
      </c>
      <c r="B16" s="37"/>
      <c r="C16" s="19">
        <f>SUM(C8:C14)</f>
        <v>69.450000000000017</v>
      </c>
      <c r="D16" s="17"/>
    </row>
  </sheetData>
  <mergeCells count="10">
    <mergeCell ref="A16:B16"/>
    <mergeCell ref="A15:D15"/>
    <mergeCell ref="C6:C7"/>
    <mergeCell ref="D6:D7"/>
    <mergeCell ref="B1:D1"/>
    <mergeCell ref="B2:D2"/>
    <mergeCell ref="A3:D3"/>
    <mergeCell ref="A4:D5"/>
    <mergeCell ref="A6:A7"/>
    <mergeCell ref="B6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F37C-1CC9-4A2F-B8EC-969D7118E582}">
  <sheetPr>
    <tabColor theme="4" tint="0.79998168889431442"/>
  </sheetPr>
  <dimension ref="A1:K28"/>
  <sheetViews>
    <sheetView tabSelected="1" workbookViewId="0">
      <selection activeCell="M28" sqref="M28"/>
    </sheetView>
  </sheetViews>
  <sheetFormatPr defaultColWidth="9" defaultRowHeight="15" x14ac:dyDescent="0.25"/>
  <cols>
    <col min="1" max="1" width="12.28515625" customWidth="1"/>
    <col min="2" max="2" width="24" customWidth="1"/>
    <col min="3" max="3" width="37.140625" customWidth="1"/>
    <col min="4" max="4" width="22.140625" customWidth="1"/>
    <col min="5" max="5" width="21.28515625" customWidth="1"/>
    <col min="6" max="6" width="20.42578125" customWidth="1"/>
    <col min="7" max="7" width="11.5703125" style="2" customWidth="1"/>
    <col min="8" max="9" width="11.7109375" style="2" customWidth="1"/>
    <col min="10" max="10" width="15.42578125" style="2" customWidth="1"/>
  </cols>
  <sheetData>
    <row r="1" spans="1:11" s="28" customFormat="1" ht="21" x14ac:dyDescent="0.25">
      <c r="A1" s="26" t="s">
        <v>18</v>
      </c>
      <c r="B1" s="67" t="s">
        <v>48</v>
      </c>
      <c r="C1" s="68"/>
      <c r="D1" s="68"/>
      <c r="E1" s="68"/>
      <c r="F1" s="68"/>
      <c r="G1" s="68"/>
      <c r="H1" s="68"/>
      <c r="I1" s="68"/>
      <c r="J1" s="69"/>
      <c r="K1" s="27"/>
    </row>
    <row r="2" spans="1:11" s="28" customFormat="1" ht="21" x14ac:dyDescent="0.25">
      <c r="A2" s="29" t="s">
        <v>17</v>
      </c>
      <c r="B2" s="70" t="s">
        <v>49</v>
      </c>
      <c r="C2" s="65"/>
      <c r="D2" s="65"/>
      <c r="E2" s="65"/>
      <c r="F2" s="65"/>
      <c r="G2" s="65"/>
      <c r="H2" s="65"/>
      <c r="I2" s="65"/>
      <c r="J2" s="66"/>
      <c r="K2" s="27"/>
    </row>
    <row r="3" spans="1:11" s="28" customFormat="1" ht="21" x14ac:dyDescent="0.25">
      <c r="A3" s="29" t="s">
        <v>31</v>
      </c>
      <c r="B3" s="70">
        <v>1</v>
      </c>
      <c r="C3" s="65"/>
      <c r="D3" s="65"/>
      <c r="E3" s="65"/>
      <c r="F3" s="65"/>
      <c r="G3" s="65"/>
      <c r="H3" s="65"/>
      <c r="I3" s="65"/>
      <c r="J3" s="66"/>
      <c r="K3" s="27"/>
    </row>
    <row r="4" spans="1:11" s="28" customFormat="1" ht="21" x14ac:dyDescent="0.25">
      <c r="A4" s="29" t="s">
        <v>19</v>
      </c>
      <c r="B4" s="64">
        <v>45972</v>
      </c>
      <c r="C4" s="65"/>
      <c r="D4" s="65"/>
      <c r="E4" s="65"/>
      <c r="F4" s="65"/>
      <c r="G4" s="65"/>
      <c r="H4" s="65"/>
      <c r="I4" s="65"/>
      <c r="J4" s="66"/>
      <c r="K4" s="27"/>
    </row>
    <row r="5" spans="1:11" s="8" customFormat="1" ht="21.75" thickBot="1" x14ac:dyDescent="0.3">
      <c r="A5" s="51"/>
      <c r="B5" s="52"/>
      <c r="C5" s="52"/>
      <c r="D5" s="52"/>
      <c r="E5" s="52"/>
      <c r="F5" s="52"/>
      <c r="G5" s="52"/>
      <c r="H5" s="52"/>
      <c r="I5" s="52"/>
      <c r="J5" s="53"/>
      <c r="K5" s="7"/>
    </row>
    <row r="6" spans="1:11" x14ac:dyDescent="0.25">
      <c r="A6" s="74" t="s">
        <v>14</v>
      </c>
      <c r="B6" s="75"/>
      <c r="C6" s="75"/>
      <c r="D6" s="75"/>
      <c r="E6" s="75"/>
      <c r="F6" s="75"/>
      <c r="G6" s="75"/>
      <c r="H6" s="75"/>
      <c r="I6" s="75"/>
      <c r="J6" s="76"/>
    </row>
    <row r="7" spans="1:11" ht="15.75" thickBot="1" x14ac:dyDescent="0.3">
      <c r="A7" s="77"/>
      <c r="B7" s="78"/>
      <c r="C7" s="78"/>
      <c r="D7" s="78"/>
      <c r="E7" s="78"/>
      <c r="F7" s="78"/>
      <c r="G7" s="78"/>
      <c r="H7" s="78"/>
      <c r="I7" s="78"/>
      <c r="J7" s="79"/>
    </row>
    <row r="8" spans="1:11" ht="24" customHeight="1" x14ac:dyDescent="0.25">
      <c r="A8" s="30" t="s">
        <v>32</v>
      </c>
      <c r="B8" s="22" t="s">
        <v>20</v>
      </c>
      <c r="C8" s="23" t="s">
        <v>21</v>
      </c>
      <c r="D8" s="23" t="s">
        <v>22</v>
      </c>
      <c r="E8" s="22" t="s">
        <v>23</v>
      </c>
      <c r="F8" s="22" t="s">
        <v>24</v>
      </c>
      <c r="G8" s="22" t="s">
        <v>25</v>
      </c>
      <c r="H8" s="24" t="s">
        <v>26</v>
      </c>
      <c r="I8" s="20" t="s">
        <v>30</v>
      </c>
      <c r="J8" s="21" t="s">
        <v>27</v>
      </c>
    </row>
    <row r="9" spans="1:11" x14ac:dyDescent="0.25">
      <c r="A9" s="33">
        <v>1</v>
      </c>
      <c r="B9" s="11">
        <v>28370</v>
      </c>
      <c r="C9" s="11" t="s">
        <v>42</v>
      </c>
      <c r="D9" s="12" t="s">
        <v>3</v>
      </c>
      <c r="E9" s="11" t="s">
        <v>38</v>
      </c>
      <c r="F9" s="34" t="s">
        <v>37</v>
      </c>
      <c r="G9" s="14">
        <v>1</v>
      </c>
      <c r="H9" s="15">
        <v>29.6</v>
      </c>
      <c r="I9" s="15"/>
      <c r="J9" s="31">
        <f>G9*H9 + I9</f>
        <v>29.6</v>
      </c>
    </row>
    <row r="10" spans="1:11" x14ac:dyDescent="0.25">
      <c r="A10" s="33">
        <v>2</v>
      </c>
      <c r="B10" s="11" t="s">
        <v>33</v>
      </c>
      <c r="C10" s="11" t="s">
        <v>34</v>
      </c>
      <c r="D10" s="12" t="s">
        <v>3</v>
      </c>
      <c r="E10" s="11" t="s">
        <v>35</v>
      </c>
      <c r="F10" s="34" t="s">
        <v>36</v>
      </c>
      <c r="G10" s="14">
        <v>1</v>
      </c>
      <c r="H10" s="15">
        <v>7.45</v>
      </c>
      <c r="I10" s="15"/>
      <c r="J10" s="31">
        <f t="shared" ref="J10:J26" si="0">G10*H10 + I10</f>
        <v>7.45</v>
      </c>
    </row>
    <row r="11" spans="1:11" x14ac:dyDescent="0.25">
      <c r="A11" s="33">
        <v>3</v>
      </c>
      <c r="B11" s="11" t="s">
        <v>41</v>
      </c>
      <c r="C11" s="11" t="s">
        <v>40</v>
      </c>
      <c r="D11" s="12" t="s">
        <v>3</v>
      </c>
      <c r="E11" s="11" t="s">
        <v>44</v>
      </c>
      <c r="F11" s="34" t="s">
        <v>39</v>
      </c>
      <c r="G11" s="14">
        <v>1</v>
      </c>
      <c r="H11" s="15">
        <v>3</v>
      </c>
      <c r="I11" s="15"/>
      <c r="J11" s="31">
        <f t="shared" si="0"/>
        <v>3</v>
      </c>
    </row>
    <row r="12" spans="1:11" x14ac:dyDescent="0.25">
      <c r="A12" s="33">
        <v>4</v>
      </c>
      <c r="B12" s="11" t="s">
        <v>47</v>
      </c>
      <c r="C12" s="11" t="s">
        <v>46</v>
      </c>
      <c r="D12" s="12" t="s">
        <v>3</v>
      </c>
      <c r="E12" s="11" t="s">
        <v>45</v>
      </c>
      <c r="F12" s="34" t="s">
        <v>43</v>
      </c>
      <c r="G12" s="14">
        <v>1</v>
      </c>
      <c r="H12" s="15">
        <v>3.16</v>
      </c>
      <c r="I12" s="15"/>
      <c r="J12" s="31">
        <f t="shared" si="0"/>
        <v>3.16</v>
      </c>
    </row>
    <row r="13" spans="1:11" x14ac:dyDescent="0.25">
      <c r="A13" s="33">
        <v>5</v>
      </c>
      <c r="B13" s="11" t="s">
        <v>50</v>
      </c>
      <c r="C13" s="11" t="s">
        <v>51</v>
      </c>
      <c r="D13" s="12" t="s">
        <v>3</v>
      </c>
      <c r="E13" s="11" t="s">
        <v>52</v>
      </c>
      <c r="F13" s="34" t="s">
        <v>53</v>
      </c>
      <c r="G13" s="14">
        <v>3</v>
      </c>
      <c r="H13" s="15">
        <v>0.76</v>
      </c>
      <c r="I13" s="15"/>
      <c r="J13" s="31">
        <f t="shared" si="0"/>
        <v>2.2800000000000002</v>
      </c>
    </row>
    <row r="14" spans="1:11" x14ac:dyDescent="0.25">
      <c r="A14" s="33">
        <v>6</v>
      </c>
      <c r="B14" s="35" t="s">
        <v>57</v>
      </c>
      <c r="C14" s="11" t="s">
        <v>56</v>
      </c>
      <c r="D14" s="12" t="s">
        <v>3</v>
      </c>
      <c r="E14" s="11" t="s">
        <v>55</v>
      </c>
      <c r="F14" s="34" t="s">
        <v>54</v>
      </c>
      <c r="G14" s="14">
        <v>1</v>
      </c>
      <c r="H14" s="15">
        <v>14.95</v>
      </c>
      <c r="I14" s="15">
        <v>9.01</v>
      </c>
      <c r="J14" s="31">
        <f t="shared" si="0"/>
        <v>23.96</v>
      </c>
    </row>
    <row r="15" spans="1:11" x14ac:dyDescent="0.25">
      <c r="A15" s="33">
        <v>7</v>
      </c>
      <c r="B15" s="11"/>
      <c r="C15" s="11"/>
      <c r="D15" s="12"/>
      <c r="E15" s="11"/>
      <c r="F15" s="13"/>
      <c r="G15" s="14"/>
      <c r="H15" s="15"/>
      <c r="I15" s="15"/>
      <c r="J15" s="31">
        <f t="shared" si="0"/>
        <v>0</v>
      </c>
    </row>
    <row r="16" spans="1:11" x14ac:dyDescent="0.25">
      <c r="A16" s="33">
        <v>8</v>
      </c>
      <c r="B16" s="11"/>
      <c r="C16" s="11"/>
      <c r="D16" s="12"/>
      <c r="E16" s="11"/>
      <c r="F16" s="13"/>
      <c r="G16" s="14"/>
      <c r="H16" s="15"/>
      <c r="I16" s="15"/>
      <c r="J16" s="31">
        <f t="shared" si="0"/>
        <v>0</v>
      </c>
    </row>
    <row r="17" spans="1:10" x14ac:dyDescent="0.25">
      <c r="A17" s="33">
        <v>9</v>
      </c>
      <c r="B17" s="11"/>
      <c r="C17" s="11"/>
      <c r="D17" s="12"/>
      <c r="E17" s="11"/>
      <c r="F17" s="13"/>
      <c r="G17" s="14"/>
      <c r="H17" s="15"/>
      <c r="I17" s="15"/>
      <c r="J17" s="31">
        <f t="shared" si="0"/>
        <v>0</v>
      </c>
    </row>
    <row r="18" spans="1:10" x14ac:dyDescent="0.25">
      <c r="A18" s="33">
        <v>10</v>
      </c>
      <c r="B18" s="11"/>
      <c r="C18" s="11"/>
      <c r="D18" s="12"/>
      <c r="E18" s="11"/>
      <c r="F18" s="13"/>
      <c r="G18" s="14"/>
      <c r="H18" s="15"/>
      <c r="I18" s="15"/>
      <c r="J18" s="31">
        <f t="shared" si="0"/>
        <v>0</v>
      </c>
    </row>
    <row r="19" spans="1:10" x14ac:dyDescent="0.25">
      <c r="A19" s="33">
        <v>11</v>
      </c>
      <c r="B19" s="11"/>
      <c r="C19" s="11"/>
      <c r="D19" s="12"/>
      <c r="E19" s="11"/>
      <c r="F19" s="13"/>
      <c r="G19" s="14"/>
      <c r="H19" s="15"/>
      <c r="I19" s="15"/>
      <c r="J19" s="31">
        <f t="shared" si="0"/>
        <v>0</v>
      </c>
    </row>
    <row r="20" spans="1:10" x14ac:dyDescent="0.25">
      <c r="A20" s="33">
        <v>12</v>
      </c>
      <c r="B20" s="11"/>
      <c r="C20" s="11"/>
      <c r="D20" s="12"/>
      <c r="E20" s="11"/>
      <c r="F20" s="13"/>
      <c r="G20" s="14"/>
      <c r="H20" s="15"/>
      <c r="I20" s="15"/>
      <c r="J20" s="31">
        <f t="shared" si="0"/>
        <v>0</v>
      </c>
    </row>
    <row r="21" spans="1:10" x14ac:dyDescent="0.25">
      <c r="A21" s="33">
        <v>13</v>
      </c>
      <c r="B21" s="11"/>
      <c r="C21" s="11"/>
      <c r="D21" s="12"/>
      <c r="E21" s="11"/>
      <c r="F21" s="13"/>
      <c r="G21" s="14"/>
      <c r="H21" s="15"/>
      <c r="I21" s="15"/>
      <c r="J21" s="31">
        <f t="shared" si="0"/>
        <v>0</v>
      </c>
    </row>
    <row r="22" spans="1:10" x14ac:dyDescent="0.25">
      <c r="A22" s="33">
        <v>14</v>
      </c>
      <c r="B22" s="11"/>
      <c r="C22" s="11"/>
      <c r="D22" s="12"/>
      <c r="E22" s="11"/>
      <c r="F22" s="13"/>
      <c r="G22" s="14"/>
      <c r="H22" s="15"/>
      <c r="I22" s="15"/>
      <c r="J22" s="31">
        <f t="shared" si="0"/>
        <v>0</v>
      </c>
    </row>
    <row r="23" spans="1:10" x14ac:dyDescent="0.25">
      <c r="A23" s="33">
        <v>15</v>
      </c>
      <c r="B23" s="11"/>
      <c r="C23" s="11"/>
      <c r="D23" s="12"/>
      <c r="E23" s="11"/>
      <c r="F23" s="13"/>
      <c r="G23" s="14"/>
      <c r="H23" s="15"/>
      <c r="I23" s="15"/>
      <c r="J23" s="31">
        <f t="shared" si="0"/>
        <v>0</v>
      </c>
    </row>
    <row r="24" spans="1:10" x14ac:dyDescent="0.25">
      <c r="A24" s="33">
        <v>16</v>
      </c>
      <c r="B24" s="11"/>
      <c r="C24" s="11"/>
      <c r="D24" s="12"/>
      <c r="E24" s="11"/>
      <c r="F24" s="13"/>
      <c r="G24" s="14"/>
      <c r="H24" s="15"/>
      <c r="I24" s="15"/>
      <c r="J24" s="31">
        <f t="shared" si="0"/>
        <v>0</v>
      </c>
    </row>
    <row r="25" spans="1:10" x14ac:dyDescent="0.25">
      <c r="A25" s="33">
        <v>17</v>
      </c>
      <c r="B25" s="11"/>
      <c r="C25" s="11"/>
      <c r="D25" s="12"/>
      <c r="E25" s="11"/>
      <c r="F25" s="13"/>
      <c r="G25" s="14"/>
      <c r="H25" s="15"/>
      <c r="I25" s="15"/>
      <c r="J25" s="31">
        <f t="shared" si="0"/>
        <v>0</v>
      </c>
    </row>
    <row r="26" spans="1:10" x14ac:dyDescent="0.25">
      <c r="A26" s="33">
        <v>18</v>
      </c>
      <c r="B26" s="11"/>
      <c r="C26" s="11"/>
      <c r="D26" s="12"/>
      <c r="E26" s="11"/>
      <c r="F26" s="13"/>
      <c r="G26" s="14"/>
      <c r="H26" s="15"/>
      <c r="I26" s="15"/>
      <c r="J26" s="31">
        <f t="shared" si="0"/>
        <v>0</v>
      </c>
    </row>
    <row r="27" spans="1:10" ht="9.9499999999999993" customHeight="1" x14ac:dyDescent="0.25">
      <c r="A27" s="80"/>
      <c r="B27" s="39"/>
      <c r="C27" s="39"/>
      <c r="D27" s="39"/>
      <c r="E27" s="39"/>
      <c r="F27" s="39"/>
      <c r="G27" s="39"/>
      <c r="H27" s="39"/>
      <c r="I27" s="39"/>
      <c r="J27" s="40"/>
    </row>
    <row r="28" spans="1:10" ht="24" customHeight="1" x14ac:dyDescent="0.25">
      <c r="A28" s="71" t="s">
        <v>29</v>
      </c>
      <c r="B28" s="72"/>
      <c r="C28" s="72"/>
      <c r="D28" s="72"/>
      <c r="E28" s="72"/>
      <c r="F28" s="72"/>
      <c r="G28" s="72"/>
      <c r="H28" s="72"/>
      <c r="I28" s="73"/>
      <c r="J28" s="32">
        <f>SUM(J9:J26)</f>
        <v>69.450000000000017</v>
      </c>
    </row>
  </sheetData>
  <mergeCells count="8">
    <mergeCell ref="B4:J4"/>
    <mergeCell ref="B1:J1"/>
    <mergeCell ref="B2:J2"/>
    <mergeCell ref="A28:I28"/>
    <mergeCell ref="B3:J3"/>
    <mergeCell ref="A5:J5"/>
    <mergeCell ref="A6:J7"/>
    <mergeCell ref="A27:J27"/>
  </mergeCells>
  <hyperlinks>
    <hyperlink ref="F9" r:id="rId1" xr:uid="{47F69ABB-A706-401F-9E6C-25B7344BDEDF}"/>
    <hyperlink ref="F10" r:id="rId2" xr:uid="{C23CC883-FF15-4941-84DA-A1DB3031559E}"/>
    <hyperlink ref="F11" r:id="rId3" xr:uid="{3189F984-B614-4B97-8F99-5DCBFBCABD68}"/>
    <hyperlink ref="F12" r:id="rId4" xr:uid="{1D3EA710-64E8-48B3-8305-944E25522B38}"/>
    <hyperlink ref="F13" r:id="rId5" xr:uid="{918B1D38-0098-41C5-A195-D869A6C9686B}"/>
    <hyperlink ref="F14" r:id="rId6" display="https://www.digikey.com/en/products/detail/adafruit-industries-llc/5396/16129669?gad_source=1&amp;gad_campaignid=20243136172&amp;gbraid=0AAAAADrbLliYomKhH2MAZtF1d7mkzJeC-&amp;gclid=CjwKCAiA2svIBhB-EiwARWDPjpoteOdCtYNSVeh3CPaCDWcyfS1sxL7Xs-_vgdgkHXA3fmvWy2yoZhoCHvsQAvD_BwE&amp;gclsrc=aw.ds" xr:uid="{95AEEBB0-8EFD-4FA3-97D4-40BAC228889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F486AC-A354-4B44-B531-5851737DAB25}">
          <x14:formula1>
            <xm:f>'Vendor List'!$A$3:$A$11</xm:f>
          </x14:formula1>
          <xm:sqref>D9:D26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457E-B2CE-47BB-A071-9BC0285A7C14}">
  <sheetPr>
    <tabColor theme="4" tint="0.79998168889431442"/>
  </sheetPr>
  <dimension ref="A1:K28"/>
  <sheetViews>
    <sheetView workbookViewId="0">
      <selection activeCell="J28" sqref="J28"/>
    </sheetView>
  </sheetViews>
  <sheetFormatPr defaultColWidth="9" defaultRowHeight="15" x14ac:dyDescent="0.25"/>
  <cols>
    <col min="1" max="1" width="12.28515625" customWidth="1"/>
    <col min="2" max="2" width="24" customWidth="1"/>
    <col min="3" max="3" width="37.140625" customWidth="1"/>
    <col min="4" max="4" width="22.140625" customWidth="1"/>
    <col min="5" max="5" width="21.28515625" customWidth="1"/>
    <col min="6" max="6" width="20.42578125" customWidth="1"/>
    <col min="7" max="7" width="11.5703125" style="2" customWidth="1"/>
    <col min="8" max="9" width="11.7109375" style="2" customWidth="1"/>
    <col min="10" max="10" width="15.42578125" style="2" customWidth="1"/>
  </cols>
  <sheetData>
    <row r="1" spans="1:11" s="28" customFormat="1" ht="21" x14ac:dyDescent="0.25">
      <c r="A1" s="26" t="s">
        <v>18</v>
      </c>
      <c r="B1" s="67"/>
      <c r="C1" s="68"/>
      <c r="D1" s="68"/>
      <c r="E1" s="68"/>
      <c r="F1" s="68"/>
      <c r="G1" s="68"/>
      <c r="H1" s="68"/>
      <c r="I1" s="68"/>
      <c r="J1" s="69"/>
      <c r="K1" s="27"/>
    </row>
    <row r="2" spans="1:11" s="28" customFormat="1" ht="21" x14ac:dyDescent="0.25">
      <c r="A2" s="29" t="s">
        <v>17</v>
      </c>
      <c r="B2" s="70"/>
      <c r="C2" s="65"/>
      <c r="D2" s="65"/>
      <c r="E2" s="65"/>
      <c r="F2" s="65"/>
      <c r="G2" s="65"/>
      <c r="H2" s="65"/>
      <c r="I2" s="65"/>
      <c r="J2" s="66"/>
      <c r="K2" s="27"/>
    </row>
    <row r="3" spans="1:11" s="28" customFormat="1" ht="21" x14ac:dyDescent="0.25">
      <c r="A3" s="29" t="s">
        <v>31</v>
      </c>
      <c r="B3" s="70">
        <v>2</v>
      </c>
      <c r="C3" s="65"/>
      <c r="D3" s="65"/>
      <c r="E3" s="65"/>
      <c r="F3" s="65"/>
      <c r="G3" s="65"/>
      <c r="H3" s="65"/>
      <c r="I3" s="65"/>
      <c r="J3" s="66"/>
      <c r="K3" s="27"/>
    </row>
    <row r="4" spans="1:11" s="28" customFormat="1" ht="21" x14ac:dyDescent="0.25">
      <c r="A4" s="29" t="s">
        <v>19</v>
      </c>
      <c r="B4" s="64" t="s">
        <v>13</v>
      </c>
      <c r="C4" s="65"/>
      <c r="D4" s="65"/>
      <c r="E4" s="65"/>
      <c r="F4" s="65"/>
      <c r="G4" s="65"/>
      <c r="H4" s="65"/>
      <c r="I4" s="65"/>
      <c r="J4" s="66"/>
      <c r="K4" s="27"/>
    </row>
    <row r="5" spans="1:11" s="8" customFormat="1" ht="21.75" thickBot="1" x14ac:dyDescent="0.3">
      <c r="A5" s="51"/>
      <c r="B5" s="52"/>
      <c r="C5" s="52"/>
      <c r="D5" s="52"/>
      <c r="E5" s="52"/>
      <c r="F5" s="52"/>
      <c r="G5" s="52"/>
      <c r="H5" s="52"/>
      <c r="I5" s="52"/>
      <c r="J5" s="53"/>
      <c r="K5" s="7"/>
    </row>
    <row r="6" spans="1:11" x14ac:dyDescent="0.25">
      <c r="A6" s="74" t="s">
        <v>14</v>
      </c>
      <c r="B6" s="75"/>
      <c r="C6" s="75"/>
      <c r="D6" s="75"/>
      <c r="E6" s="75"/>
      <c r="F6" s="75"/>
      <c r="G6" s="75"/>
      <c r="H6" s="75"/>
      <c r="I6" s="75"/>
      <c r="J6" s="76"/>
    </row>
    <row r="7" spans="1:11" ht="15.75" thickBot="1" x14ac:dyDescent="0.3">
      <c r="A7" s="77"/>
      <c r="B7" s="78"/>
      <c r="C7" s="78"/>
      <c r="D7" s="78"/>
      <c r="E7" s="78"/>
      <c r="F7" s="78"/>
      <c r="G7" s="78"/>
      <c r="H7" s="78"/>
      <c r="I7" s="78"/>
      <c r="J7" s="79"/>
    </row>
    <row r="8" spans="1:11" ht="24" customHeight="1" x14ac:dyDescent="0.25">
      <c r="A8" s="30" t="s">
        <v>32</v>
      </c>
      <c r="B8" s="22" t="s">
        <v>20</v>
      </c>
      <c r="C8" s="23" t="s">
        <v>21</v>
      </c>
      <c r="D8" s="23" t="s">
        <v>22</v>
      </c>
      <c r="E8" s="22" t="s">
        <v>23</v>
      </c>
      <c r="F8" s="22" t="s">
        <v>24</v>
      </c>
      <c r="G8" s="22" t="s">
        <v>25</v>
      </c>
      <c r="H8" s="24" t="s">
        <v>26</v>
      </c>
      <c r="I8" s="20" t="s">
        <v>30</v>
      </c>
      <c r="J8" s="21" t="s">
        <v>27</v>
      </c>
    </row>
    <row r="9" spans="1:11" x14ac:dyDescent="0.25">
      <c r="A9" s="33">
        <v>1</v>
      </c>
      <c r="B9" s="11"/>
      <c r="C9" s="11"/>
      <c r="D9" s="12"/>
      <c r="E9" s="11"/>
      <c r="F9" s="13"/>
      <c r="G9" s="14"/>
      <c r="H9" s="15"/>
      <c r="I9" s="15"/>
      <c r="J9" s="31">
        <f>G9*H9 + I9</f>
        <v>0</v>
      </c>
    </row>
    <row r="10" spans="1:11" x14ac:dyDescent="0.25">
      <c r="A10" s="33">
        <v>2</v>
      </c>
      <c r="B10" s="11"/>
      <c r="C10" s="11"/>
      <c r="D10" s="12"/>
      <c r="E10" s="11"/>
      <c r="F10" s="13"/>
      <c r="G10" s="14"/>
      <c r="H10" s="15"/>
      <c r="I10" s="15"/>
      <c r="J10" s="31">
        <f t="shared" ref="J10:J26" si="0">G10*H10 + I10</f>
        <v>0</v>
      </c>
    </row>
    <row r="11" spans="1:11" x14ac:dyDescent="0.25">
      <c r="A11" s="33">
        <v>3</v>
      </c>
      <c r="B11" s="11"/>
      <c r="C11" s="11"/>
      <c r="D11" s="12"/>
      <c r="E11" s="11"/>
      <c r="F11" s="13"/>
      <c r="G11" s="14"/>
      <c r="H11" s="15"/>
      <c r="I11" s="15"/>
      <c r="J11" s="31">
        <f t="shared" si="0"/>
        <v>0</v>
      </c>
    </row>
    <row r="12" spans="1:11" x14ac:dyDescent="0.25">
      <c r="A12" s="33">
        <v>4</v>
      </c>
      <c r="B12" s="11"/>
      <c r="C12" s="11"/>
      <c r="D12" s="12"/>
      <c r="E12" s="11"/>
      <c r="F12" s="13"/>
      <c r="G12" s="14"/>
      <c r="H12" s="15"/>
      <c r="I12" s="15"/>
      <c r="J12" s="31">
        <f t="shared" si="0"/>
        <v>0</v>
      </c>
    </row>
    <row r="13" spans="1:11" x14ac:dyDescent="0.25">
      <c r="A13" s="33">
        <v>5</v>
      </c>
      <c r="B13" s="11"/>
      <c r="C13" s="11"/>
      <c r="D13" s="12"/>
      <c r="E13" s="11"/>
      <c r="F13" s="13"/>
      <c r="G13" s="14"/>
      <c r="H13" s="15"/>
      <c r="I13" s="15"/>
      <c r="J13" s="31">
        <f t="shared" si="0"/>
        <v>0</v>
      </c>
    </row>
    <row r="14" spans="1:11" x14ac:dyDescent="0.25">
      <c r="A14" s="33">
        <v>6</v>
      </c>
      <c r="B14" s="11"/>
      <c r="C14" s="11"/>
      <c r="D14" s="12"/>
      <c r="E14" s="11"/>
      <c r="F14" s="13"/>
      <c r="G14" s="14"/>
      <c r="H14" s="15"/>
      <c r="I14" s="15"/>
      <c r="J14" s="31">
        <f t="shared" si="0"/>
        <v>0</v>
      </c>
    </row>
    <row r="15" spans="1:11" x14ac:dyDescent="0.25">
      <c r="A15" s="33">
        <v>7</v>
      </c>
      <c r="B15" s="11"/>
      <c r="C15" s="11"/>
      <c r="D15" s="12"/>
      <c r="E15" s="11"/>
      <c r="F15" s="13"/>
      <c r="G15" s="14"/>
      <c r="H15" s="15"/>
      <c r="I15" s="15"/>
      <c r="J15" s="31">
        <f t="shared" si="0"/>
        <v>0</v>
      </c>
    </row>
    <row r="16" spans="1:11" x14ac:dyDescent="0.25">
      <c r="A16" s="33">
        <v>8</v>
      </c>
      <c r="B16" s="11"/>
      <c r="C16" s="11"/>
      <c r="D16" s="12"/>
      <c r="E16" s="11"/>
      <c r="F16" s="13"/>
      <c r="G16" s="14"/>
      <c r="H16" s="15"/>
      <c r="I16" s="15"/>
      <c r="J16" s="31">
        <f t="shared" si="0"/>
        <v>0</v>
      </c>
    </row>
    <row r="17" spans="1:10" x14ac:dyDescent="0.25">
      <c r="A17" s="33">
        <v>9</v>
      </c>
      <c r="B17" s="11"/>
      <c r="C17" s="11"/>
      <c r="D17" s="12"/>
      <c r="E17" s="11"/>
      <c r="F17" s="13"/>
      <c r="G17" s="14"/>
      <c r="H17" s="15"/>
      <c r="I17" s="15"/>
      <c r="J17" s="31">
        <f t="shared" si="0"/>
        <v>0</v>
      </c>
    </row>
    <row r="18" spans="1:10" x14ac:dyDescent="0.25">
      <c r="A18" s="33">
        <v>10</v>
      </c>
      <c r="B18" s="11"/>
      <c r="C18" s="11"/>
      <c r="D18" s="12"/>
      <c r="E18" s="11"/>
      <c r="F18" s="13"/>
      <c r="G18" s="14"/>
      <c r="H18" s="15"/>
      <c r="I18" s="15"/>
      <c r="J18" s="31">
        <f t="shared" si="0"/>
        <v>0</v>
      </c>
    </row>
    <row r="19" spans="1:10" x14ac:dyDescent="0.25">
      <c r="A19" s="33">
        <v>11</v>
      </c>
      <c r="B19" s="11"/>
      <c r="C19" s="11"/>
      <c r="D19" s="12"/>
      <c r="E19" s="11"/>
      <c r="F19" s="13"/>
      <c r="G19" s="14"/>
      <c r="H19" s="15"/>
      <c r="I19" s="15"/>
      <c r="J19" s="31">
        <f t="shared" si="0"/>
        <v>0</v>
      </c>
    </row>
    <row r="20" spans="1:10" x14ac:dyDescent="0.25">
      <c r="A20" s="33">
        <v>12</v>
      </c>
      <c r="B20" s="11"/>
      <c r="C20" s="11"/>
      <c r="D20" s="12"/>
      <c r="E20" s="11"/>
      <c r="F20" s="13"/>
      <c r="G20" s="14"/>
      <c r="H20" s="15"/>
      <c r="I20" s="15"/>
      <c r="J20" s="31">
        <f t="shared" si="0"/>
        <v>0</v>
      </c>
    </row>
    <row r="21" spans="1:10" x14ac:dyDescent="0.25">
      <c r="A21" s="33">
        <v>13</v>
      </c>
      <c r="B21" s="11"/>
      <c r="C21" s="11"/>
      <c r="D21" s="12"/>
      <c r="E21" s="11"/>
      <c r="F21" s="13"/>
      <c r="G21" s="14"/>
      <c r="H21" s="15"/>
      <c r="I21" s="15"/>
      <c r="J21" s="31">
        <f t="shared" si="0"/>
        <v>0</v>
      </c>
    </row>
    <row r="22" spans="1:10" x14ac:dyDescent="0.25">
      <c r="A22" s="33">
        <v>14</v>
      </c>
      <c r="B22" s="11"/>
      <c r="C22" s="11"/>
      <c r="D22" s="12"/>
      <c r="E22" s="11"/>
      <c r="F22" s="13"/>
      <c r="G22" s="14"/>
      <c r="H22" s="15"/>
      <c r="I22" s="15"/>
      <c r="J22" s="31">
        <f t="shared" si="0"/>
        <v>0</v>
      </c>
    </row>
    <row r="23" spans="1:10" x14ac:dyDescent="0.25">
      <c r="A23" s="33">
        <v>15</v>
      </c>
      <c r="B23" s="11"/>
      <c r="C23" s="11"/>
      <c r="D23" s="12"/>
      <c r="E23" s="11"/>
      <c r="F23" s="13"/>
      <c r="G23" s="14"/>
      <c r="H23" s="15"/>
      <c r="I23" s="15"/>
      <c r="J23" s="31">
        <f t="shared" si="0"/>
        <v>0</v>
      </c>
    </row>
    <row r="24" spans="1:10" x14ac:dyDescent="0.25">
      <c r="A24" s="33">
        <v>16</v>
      </c>
      <c r="B24" s="11"/>
      <c r="C24" s="11"/>
      <c r="D24" s="12"/>
      <c r="E24" s="11"/>
      <c r="F24" s="13"/>
      <c r="G24" s="14"/>
      <c r="H24" s="15"/>
      <c r="I24" s="15"/>
      <c r="J24" s="31">
        <f t="shared" si="0"/>
        <v>0</v>
      </c>
    </row>
    <row r="25" spans="1:10" x14ac:dyDescent="0.25">
      <c r="A25" s="33">
        <v>17</v>
      </c>
      <c r="B25" s="11"/>
      <c r="C25" s="11"/>
      <c r="D25" s="12"/>
      <c r="E25" s="11"/>
      <c r="F25" s="13"/>
      <c r="G25" s="14"/>
      <c r="H25" s="15"/>
      <c r="I25" s="15"/>
      <c r="J25" s="31">
        <f t="shared" si="0"/>
        <v>0</v>
      </c>
    </row>
    <row r="26" spans="1:10" x14ac:dyDescent="0.25">
      <c r="A26" s="33">
        <v>18</v>
      </c>
      <c r="B26" s="11"/>
      <c r="C26" s="11"/>
      <c r="D26" s="12"/>
      <c r="E26" s="11"/>
      <c r="F26" s="13"/>
      <c r="G26" s="14"/>
      <c r="H26" s="15"/>
      <c r="I26" s="15"/>
      <c r="J26" s="31">
        <f t="shared" si="0"/>
        <v>0</v>
      </c>
    </row>
    <row r="27" spans="1:10" ht="9.9499999999999993" customHeight="1" x14ac:dyDescent="0.25">
      <c r="A27" s="80"/>
      <c r="B27" s="39"/>
      <c r="C27" s="39"/>
      <c r="D27" s="39"/>
      <c r="E27" s="39"/>
      <c r="F27" s="39"/>
      <c r="G27" s="39"/>
      <c r="H27" s="39"/>
      <c r="I27" s="39"/>
      <c r="J27" s="40"/>
    </row>
    <row r="28" spans="1:10" ht="24" customHeight="1" x14ac:dyDescent="0.25">
      <c r="A28" s="71" t="s">
        <v>29</v>
      </c>
      <c r="B28" s="72"/>
      <c r="C28" s="72"/>
      <c r="D28" s="72"/>
      <c r="E28" s="72"/>
      <c r="F28" s="72"/>
      <c r="G28" s="72"/>
      <c r="H28" s="72"/>
      <c r="I28" s="73"/>
      <c r="J28" s="32">
        <f>SUM(J9:J26)</f>
        <v>0</v>
      </c>
    </row>
  </sheetData>
  <mergeCells count="8">
    <mergeCell ref="A6:J7"/>
    <mergeCell ref="A27:J27"/>
    <mergeCell ref="A28:I28"/>
    <mergeCell ref="B1:J1"/>
    <mergeCell ref="B2:J2"/>
    <mergeCell ref="B3:J3"/>
    <mergeCell ref="B4:J4"/>
    <mergeCell ref="A5:J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8F980B-1C30-4DAD-8458-8235F974CB31}">
          <x14:formula1>
            <xm:f>'Vendor List'!$A$3:$A$11</xm:f>
          </x14:formula1>
          <xm:sqref>D9:D26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56ED-6696-4F54-98E9-696FA08A5C9D}">
  <sheetPr>
    <tabColor theme="4" tint="0.79998168889431442"/>
  </sheetPr>
  <dimension ref="A1:K28"/>
  <sheetViews>
    <sheetView workbookViewId="0">
      <selection activeCell="B3" sqref="B3:J3"/>
    </sheetView>
  </sheetViews>
  <sheetFormatPr defaultColWidth="9" defaultRowHeight="15" x14ac:dyDescent="0.25"/>
  <cols>
    <col min="1" max="1" width="12.28515625" customWidth="1"/>
    <col min="2" max="2" width="24" customWidth="1"/>
    <col min="3" max="3" width="37.140625" customWidth="1"/>
    <col min="4" max="4" width="22.140625" customWidth="1"/>
    <col min="5" max="5" width="21.28515625" customWidth="1"/>
    <col min="6" max="6" width="20.42578125" customWidth="1"/>
    <col min="7" max="7" width="11.5703125" style="2" customWidth="1"/>
    <col min="8" max="9" width="11.7109375" style="2" customWidth="1"/>
    <col min="10" max="10" width="15.42578125" style="2" customWidth="1"/>
  </cols>
  <sheetData>
    <row r="1" spans="1:11" s="28" customFormat="1" ht="21" x14ac:dyDescent="0.25">
      <c r="A1" s="26" t="s">
        <v>18</v>
      </c>
      <c r="B1" s="67"/>
      <c r="C1" s="68"/>
      <c r="D1" s="68"/>
      <c r="E1" s="68"/>
      <c r="F1" s="68"/>
      <c r="G1" s="68"/>
      <c r="H1" s="68"/>
      <c r="I1" s="68"/>
      <c r="J1" s="69"/>
      <c r="K1" s="27"/>
    </row>
    <row r="2" spans="1:11" s="28" customFormat="1" ht="21" x14ac:dyDescent="0.25">
      <c r="A2" s="29" t="s">
        <v>17</v>
      </c>
      <c r="B2" s="70"/>
      <c r="C2" s="65"/>
      <c r="D2" s="65"/>
      <c r="E2" s="65"/>
      <c r="F2" s="65"/>
      <c r="G2" s="65"/>
      <c r="H2" s="65"/>
      <c r="I2" s="65"/>
      <c r="J2" s="66"/>
      <c r="K2" s="27"/>
    </row>
    <row r="3" spans="1:11" s="28" customFormat="1" ht="21" x14ac:dyDescent="0.25">
      <c r="A3" s="29" t="s">
        <v>31</v>
      </c>
      <c r="B3" s="70">
        <v>3</v>
      </c>
      <c r="C3" s="65"/>
      <c r="D3" s="65"/>
      <c r="E3" s="65"/>
      <c r="F3" s="65"/>
      <c r="G3" s="65"/>
      <c r="H3" s="65"/>
      <c r="I3" s="65"/>
      <c r="J3" s="66"/>
      <c r="K3" s="27"/>
    </row>
    <row r="4" spans="1:11" s="28" customFormat="1" ht="21" x14ac:dyDescent="0.25">
      <c r="A4" s="29" t="s">
        <v>19</v>
      </c>
      <c r="B4" s="64" t="s">
        <v>13</v>
      </c>
      <c r="C4" s="65"/>
      <c r="D4" s="65"/>
      <c r="E4" s="65"/>
      <c r="F4" s="65"/>
      <c r="G4" s="65"/>
      <c r="H4" s="65"/>
      <c r="I4" s="65"/>
      <c r="J4" s="66"/>
      <c r="K4" s="27"/>
    </row>
    <row r="5" spans="1:11" s="8" customFormat="1" ht="21.75" thickBot="1" x14ac:dyDescent="0.3">
      <c r="A5" s="51"/>
      <c r="B5" s="52"/>
      <c r="C5" s="52"/>
      <c r="D5" s="52"/>
      <c r="E5" s="52"/>
      <c r="F5" s="52"/>
      <c r="G5" s="52"/>
      <c r="H5" s="52"/>
      <c r="I5" s="52"/>
      <c r="J5" s="53"/>
      <c r="K5" s="7"/>
    </row>
    <row r="6" spans="1:11" x14ac:dyDescent="0.25">
      <c r="A6" s="74" t="s">
        <v>14</v>
      </c>
      <c r="B6" s="75"/>
      <c r="C6" s="75"/>
      <c r="D6" s="75"/>
      <c r="E6" s="75"/>
      <c r="F6" s="75"/>
      <c r="G6" s="75"/>
      <c r="H6" s="75"/>
      <c r="I6" s="75"/>
      <c r="J6" s="76"/>
    </row>
    <row r="7" spans="1:11" ht="15.75" thickBot="1" x14ac:dyDescent="0.3">
      <c r="A7" s="77"/>
      <c r="B7" s="78"/>
      <c r="C7" s="78"/>
      <c r="D7" s="78"/>
      <c r="E7" s="78"/>
      <c r="F7" s="78"/>
      <c r="G7" s="78"/>
      <c r="H7" s="78"/>
      <c r="I7" s="78"/>
      <c r="J7" s="79"/>
    </row>
    <row r="8" spans="1:11" ht="24" customHeight="1" x14ac:dyDescent="0.25">
      <c r="A8" s="30" t="s">
        <v>32</v>
      </c>
      <c r="B8" s="22" t="s">
        <v>20</v>
      </c>
      <c r="C8" s="23" t="s">
        <v>21</v>
      </c>
      <c r="D8" s="23" t="s">
        <v>22</v>
      </c>
      <c r="E8" s="22" t="s">
        <v>23</v>
      </c>
      <c r="F8" s="22" t="s">
        <v>24</v>
      </c>
      <c r="G8" s="22" t="s">
        <v>25</v>
      </c>
      <c r="H8" s="24" t="s">
        <v>26</v>
      </c>
      <c r="I8" s="20" t="s">
        <v>30</v>
      </c>
      <c r="J8" s="21" t="s">
        <v>27</v>
      </c>
    </row>
    <row r="9" spans="1:11" x14ac:dyDescent="0.25">
      <c r="A9" s="33">
        <v>1</v>
      </c>
      <c r="B9" s="11"/>
      <c r="C9" s="11"/>
      <c r="D9" s="12"/>
      <c r="E9" s="11"/>
      <c r="F9" s="13"/>
      <c r="G9" s="14"/>
      <c r="H9" s="15"/>
      <c r="I9" s="15"/>
      <c r="J9" s="31">
        <f>G9*H9 + I9</f>
        <v>0</v>
      </c>
    </row>
    <row r="10" spans="1:11" x14ac:dyDescent="0.25">
      <c r="A10" s="33">
        <v>2</v>
      </c>
      <c r="B10" s="11"/>
      <c r="C10" s="11"/>
      <c r="D10" s="12"/>
      <c r="E10" s="11"/>
      <c r="F10" s="13"/>
      <c r="G10" s="14"/>
      <c r="H10" s="15"/>
      <c r="I10" s="15"/>
      <c r="J10" s="31">
        <f t="shared" ref="J10:J26" si="0">G10*H10 + I10</f>
        <v>0</v>
      </c>
    </row>
    <row r="11" spans="1:11" x14ac:dyDescent="0.25">
      <c r="A11" s="33">
        <v>3</v>
      </c>
      <c r="B11" s="11"/>
      <c r="C11" s="11"/>
      <c r="D11" s="12"/>
      <c r="E11" s="11"/>
      <c r="F11" s="13"/>
      <c r="G11" s="14"/>
      <c r="H11" s="15"/>
      <c r="I11" s="15"/>
      <c r="J11" s="31">
        <f t="shared" si="0"/>
        <v>0</v>
      </c>
    </row>
    <row r="12" spans="1:11" x14ac:dyDescent="0.25">
      <c r="A12" s="33">
        <v>4</v>
      </c>
      <c r="B12" s="11"/>
      <c r="C12" s="11"/>
      <c r="D12" s="12"/>
      <c r="E12" s="11"/>
      <c r="F12" s="13"/>
      <c r="G12" s="14"/>
      <c r="H12" s="15"/>
      <c r="I12" s="15"/>
      <c r="J12" s="31">
        <f t="shared" si="0"/>
        <v>0</v>
      </c>
    </row>
    <row r="13" spans="1:11" x14ac:dyDescent="0.25">
      <c r="A13" s="33">
        <v>5</v>
      </c>
      <c r="B13" s="11"/>
      <c r="C13" s="11"/>
      <c r="D13" s="12"/>
      <c r="E13" s="11"/>
      <c r="F13" s="13"/>
      <c r="G13" s="14"/>
      <c r="H13" s="15"/>
      <c r="I13" s="15"/>
      <c r="J13" s="31">
        <f t="shared" si="0"/>
        <v>0</v>
      </c>
    </row>
    <row r="14" spans="1:11" x14ac:dyDescent="0.25">
      <c r="A14" s="33">
        <v>6</v>
      </c>
      <c r="B14" s="11"/>
      <c r="C14" s="11"/>
      <c r="D14" s="12"/>
      <c r="E14" s="11"/>
      <c r="F14" s="13"/>
      <c r="G14" s="14"/>
      <c r="H14" s="15"/>
      <c r="I14" s="15"/>
      <c r="J14" s="31">
        <f t="shared" si="0"/>
        <v>0</v>
      </c>
    </row>
    <row r="15" spans="1:11" x14ac:dyDescent="0.25">
      <c r="A15" s="33">
        <v>7</v>
      </c>
      <c r="B15" s="11"/>
      <c r="C15" s="11"/>
      <c r="D15" s="12"/>
      <c r="E15" s="11"/>
      <c r="F15" s="13"/>
      <c r="G15" s="14"/>
      <c r="H15" s="15"/>
      <c r="I15" s="15"/>
      <c r="J15" s="31">
        <f t="shared" si="0"/>
        <v>0</v>
      </c>
    </row>
    <row r="16" spans="1:11" x14ac:dyDescent="0.25">
      <c r="A16" s="33">
        <v>8</v>
      </c>
      <c r="B16" s="11"/>
      <c r="C16" s="11"/>
      <c r="D16" s="12"/>
      <c r="E16" s="11"/>
      <c r="F16" s="13"/>
      <c r="G16" s="14"/>
      <c r="H16" s="15"/>
      <c r="I16" s="15"/>
      <c r="J16" s="31">
        <f t="shared" si="0"/>
        <v>0</v>
      </c>
    </row>
    <row r="17" spans="1:10" x14ac:dyDescent="0.25">
      <c r="A17" s="33">
        <v>9</v>
      </c>
      <c r="B17" s="11"/>
      <c r="C17" s="11"/>
      <c r="D17" s="12"/>
      <c r="E17" s="11"/>
      <c r="F17" s="13"/>
      <c r="G17" s="14"/>
      <c r="H17" s="15"/>
      <c r="I17" s="15"/>
      <c r="J17" s="31">
        <f t="shared" si="0"/>
        <v>0</v>
      </c>
    </row>
    <row r="18" spans="1:10" x14ac:dyDescent="0.25">
      <c r="A18" s="33">
        <v>10</v>
      </c>
      <c r="B18" s="11"/>
      <c r="C18" s="11"/>
      <c r="D18" s="12"/>
      <c r="E18" s="11"/>
      <c r="F18" s="13"/>
      <c r="G18" s="14"/>
      <c r="H18" s="15"/>
      <c r="I18" s="15"/>
      <c r="J18" s="31">
        <f t="shared" si="0"/>
        <v>0</v>
      </c>
    </row>
    <row r="19" spans="1:10" x14ac:dyDescent="0.25">
      <c r="A19" s="33">
        <v>11</v>
      </c>
      <c r="B19" s="11"/>
      <c r="C19" s="11"/>
      <c r="D19" s="12"/>
      <c r="E19" s="11"/>
      <c r="F19" s="13"/>
      <c r="G19" s="14"/>
      <c r="H19" s="15"/>
      <c r="I19" s="15"/>
      <c r="J19" s="31">
        <f t="shared" si="0"/>
        <v>0</v>
      </c>
    </row>
    <row r="20" spans="1:10" x14ac:dyDescent="0.25">
      <c r="A20" s="33">
        <v>12</v>
      </c>
      <c r="B20" s="11"/>
      <c r="C20" s="11"/>
      <c r="D20" s="12"/>
      <c r="E20" s="11"/>
      <c r="F20" s="13"/>
      <c r="G20" s="14"/>
      <c r="H20" s="15"/>
      <c r="I20" s="15"/>
      <c r="J20" s="31">
        <f t="shared" si="0"/>
        <v>0</v>
      </c>
    </row>
    <row r="21" spans="1:10" x14ac:dyDescent="0.25">
      <c r="A21" s="33">
        <v>13</v>
      </c>
      <c r="B21" s="11"/>
      <c r="C21" s="11"/>
      <c r="D21" s="12"/>
      <c r="E21" s="11"/>
      <c r="F21" s="13"/>
      <c r="G21" s="14"/>
      <c r="H21" s="15"/>
      <c r="I21" s="15"/>
      <c r="J21" s="31">
        <f t="shared" si="0"/>
        <v>0</v>
      </c>
    </row>
    <row r="22" spans="1:10" x14ac:dyDescent="0.25">
      <c r="A22" s="33">
        <v>14</v>
      </c>
      <c r="B22" s="11"/>
      <c r="C22" s="11"/>
      <c r="D22" s="12"/>
      <c r="E22" s="11"/>
      <c r="F22" s="13"/>
      <c r="G22" s="14"/>
      <c r="H22" s="15"/>
      <c r="I22" s="15"/>
      <c r="J22" s="31">
        <f t="shared" si="0"/>
        <v>0</v>
      </c>
    </row>
    <row r="23" spans="1:10" x14ac:dyDescent="0.25">
      <c r="A23" s="33">
        <v>15</v>
      </c>
      <c r="B23" s="11"/>
      <c r="C23" s="11"/>
      <c r="D23" s="12"/>
      <c r="E23" s="11"/>
      <c r="F23" s="13"/>
      <c r="G23" s="14"/>
      <c r="H23" s="15"/>
      <c r="I23" s="15"/>
      <c r="J23" s="31">
        <f t="shared" si="0"/>
        <v>0</v>
      </c>
    </row>
    <row r="24" spans="1:10" x14ac:dyDescent="0.25">
      <c r="A24" s="33">
        <v>16</v>
      </c>
      <c r="B24" s="11"/>
      <c r="C24" s="11"/>
      <c r="D24" s="12"/>
      <c r="E24" s="11"/>
      <c r="F24" s="13"/>
      <c r="G24" s="14"/>
      <c r="H24" s="15"/>
      <c r="I24" s="15"/>
      <c r="J24" s="31">
        <f t="shared" si="0"/>
        <v>0</v>
      </c>
    </row>
    <row r="25" spans="1:10" x14ac:dyDescent="0.25">
      <c r="A25" s="33">
        <v>17</v>
      </c>
      <c r="B25" s="11"/>
      <c r="C25" s="11"/>
      <c r="D25" s="12"/>
      <c r="E25" s="11"/>
      <c r="F25" s="13"/>
      <c r="G25" s="14"/>
      <c r="H25" s="15"/>
      <c r="I25" s="15"/>
      <c r="J25" s="31">
        <f t="shared" si="0"/>
        <v>0</v>
      </c>
    </row>
    <row r="26" spans="1:10" x14ac:dyDescent="0.25">
      <c r="A26" s="33">
        <v>18</v>
      </c>
      <c r="B26" s="11"/>
      <c r="C26" s="11"/>
      <c r="D26" s="12"/>
      <c r="E26" s="11"/>
      <c r="F26" s="13"/>
      <c r="G26" s="14"/>
      <c r="H26" s="15"/>
      <c r="I26" s="15"/>
      <c r="J26" s="31">
        <f t="shared" si="0"/>
        <v>0</v>
      </c>
    </row>
    <row r="27" spans="1:10" ht="9.9499999999999993" customHeight="1" x14ac:dyDescent="0.25">
      <c r="A27" s="80"/>
      <c r="B27" s="39"/>
      <c r="C27" s="39"/>
      <c r="D27" s="39"/>
      <c r="E27" s="39"/>
      <c r="F27" s="39"/>
      <c r="G27" s="39"/>
      <c r="H27" s="39"/>
      <c r="I27" s="39"/>
      <c r="J27" s="40"/>
    </row>
    <row r="28" spans="1:10" ht="24" customHeight="1" x14ac:dyDescent="0.25">
      <c r="A28" s="71" t="s">
        <v>29</v>
      </c>
      <c r="B28" s="72"/>
      <c r="C28" s="72"/>
      <c r="D28" s="72"/>
      <c r="E28" s="72"/>
      <c r="F28" s="72"/>
      <c r="G28" s="72"/>
      <c r="H28" s="72"/>
      <c r="I28" s="73"/>
      <c r="J28" s="32">
        <f>SUM(J9:J26)</f>
        <v>0</v>
      </c>
    </row>
  </sheetData>
  <mergeCells count="8">
    <mergeCell ref="A6:J7"/>
    <mergeCell ref="A27:J27"/>
    <mergeCell ref="A28:I28"/>
    <mergeCell ref="B1:J1"/>
    <mergeCell ref="B2:J2"/>
    <mergeCell ref="B3:J3"/>
    <mergeCell ref="B4:J4"/>
    <mergeCell ref="A5:J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A4E4D6-ACAC-4695-BAEB-5978E96D7AB4}">
          <x14:formula1>
            <xm:f>'Vendor List'!$A$3:$A$11</xm:f>
          </x14:formula1>
          <xm:sqref>D9:D26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1594-E2CB-4459-A38A-4DC6313BC268}">
  <sheetPr>
    <tabColor theme="4" tint="0.79998168889431442"/>
  </sheetPr>
  <dimension ref="A1:K28"/>
  <sheetViews>
    <sheetView workbookViewId="0">
      <selection activeCell="B3" sqref="B3:J3"/>
    </sheetView>
  </sheetViews>
  <sheetFormatPr defaultColWidth="9" defaultRowHeight="15" x14ac:dyDescent="0.25"/>
  <cols>
    <col min="1" max="1" width="12.28515625" customWidth="1"/>
    <col min="2" max="2" width="24" customWidth="1"/>
    <col min="3" max="3" width="37.140625" customWidth="1"/>
    <col min="4" max="4" width="22.140625" customWidth="1"/>
    <col min="5" max="5" width="21.28515625" customWidth="1"/>
    <col min="6" max="6" width="20.42578125" customWidth="1"/>
    <col min="7" max="7" width="11.5703125" style="2" customWidth="1"/>
    <col min="8" max="9" width="11.7109375" style="2" customWidth="1"/>
    <col min="10" max="10" width="15.42578125" style="2" customWidth="1"/>
  </cols>
  <sheetData>
    <row r="1" spans="1:11" s="28" customFormat="1" ht="21" x14ac:dyDescent="0.25">
      <c r="A1" s="26" t="s">
        <v>18</v>
      </c>
      <c r="B1" s="67"/>
      <c r="C1" s="68"/>
      <c r="D1" s="68"/>
      <c r="E1" s="68"/>
      <c r="F1" s="68"/>
      <c r="G1" s="68"/>
      <c r="H1" s="68"/>
      <c r="I1" s="68"/>
      <c r="J1" s="69"/>
      <c r="K1" s="27"/>
    </row>
    <row r="2" spans="1:11" s="28" customFormat="1" ht="21" x14ac:dyDescent="0.25">
      <c r="A2" s="29" t="s">
        <v>17</v>
      </c>
      <c r="B2" s="70"/>
      <c r="C2" s="65"/>
      <c r="D2" s="65"/>
      <c r="E2" s="65"/>
      <c r="F2" s="65"/>
      <c r="G2" s="65"/>
      <c r="H2" s="65"/>
      <c r="I2" s="65"/>
      <c r="J2" s="66"/>
      <c r="K2" s="27"/>
    </row>
    <row r="3" spans="1:11" s="28" customFormat="1" ht="21" x14ac:dyDescent="0.25">
      <c r="A3" s="29" t="s">
        <v>31</v>
      </c>
      <c r="B3" s="70">
        <v>4</v>
      </c>
      <c r="C3" s="65"/>
      <c r="D3" s="65"/>
      <c r="E3" s="65"/>
      <c r="F3" s="65"/>
      <c r="G3" s="65"/>
      <c r="H3" s="65"/>
      <c r="I3" s="65"/>
      <c r="J3" s="66"/>
      <c r="K3" s="27"/>
    </row>
    <row r="4" spans="1:11" s="28" customFormat="1" ht="21" x14ac:dyDescent="0.25">
      <c r="A4" s="29" t="s">
        <v>19</v>
      </c>
      <c r="B4" s="64" t="s">
        <v>13</v>
      </c>
      <c r="C4" s="65"/>
      <c r="D4" s="65"/>
      <c r="E4" s="65"/>
      <c r="F4" s="65"/>
      <c r="G4" s="65"/>
      <c r="H4" s="65"/>
      <c r="I4" s="65"/>
      <c r="J4" s="66"/>
      <c r="K4" s="27"/>
    </row>
    <row r="5" spans="1:11" s="8" customFormat="1" ht="21.75" thickBot="1" x14ac:dyDescent="0.3">
      <c r="A5" s="51"/>
      <c r="B5" s="52"/>
      <c r="C5" s="52"/>
      <c r="D5" s="52"/>
      <c r="E5" s="52"/>
      <c r="F5" s="52"/>
      <c r="G5" s="52"/>
      <c r="H5" s="52"/>
      <c r="I5" s="52"/>
      <c r="J5" s="53"/>
      <c r="K5" s="7"/>
    </row>
    <row r="6" spans="1:11" x14ac:dyDescent="0.25">
      <c r="A6" s="74" t="s">
        <v>14</v>
      </c>
      <c r="B6" s="75"/>
      <c r="C6" s="75"/>
      <c r="D6" s="75"/>
      <c r="E6" s="75"/>
      <c r="F6" s="75"/>
      <c r="G6" s="75"/>
      <c r="H6" s="75"/>
      <c r="I6" s="75"/>
      <c r="J6" s="76"/>
    </row>
    <row r="7" spans="1:11" ht="15.75" thickBot="1" x14ac:dyDescent="0.3">
      <c r="A7" s="77"/>
      <c r="B7" s="78"/>
      <c r="C7" s="78"/>
      <c r="D7" s="78"/>
      <c r="E7" s="78"/>
      <c r="F7" s="78"/>
      <c r="G7" s="78"/>
      <c r="H7" s="78"/>
      <c r="I7" s="78"/>
      <c r="J7" s="79"/>
    </row>
    <row r="8" spans="1:11" ht="24" customHeight="1" x14ac:dyDescent="0.25">
      <c r="A8" s="30" t="s">
        <v>32</v>
      </c>
      <c r="B8" s="22" t="s">
        <v>20</v>
      </c>
      <c r="C8" s="23" t="s">
        <v>21</v>
      </c>
      <c r="D8" s="23" t="s">
        <v>22</v>
      </c>
      <c r="E8" s="22" t="s">
        <v>23</v>
      </c>
      <c r="F8" s="22" t="s">
        <v>24</v>
      </c>
      <c r="G8" s="22" t="s">
        <v>25</v>
      </c>
      <c r="H8" s="24" t="s">
        <v>26</v>
      </c>
      <c r="I8" s="20" t="s">
        <v>30</v>
      </c>
      <c r="J8" s="21" t="s">
        <v>27</v>
      </c>
    </row>
    <row r="9" spans="1:11" x14ac:dyDescent="0.25">
      <c r="A9" s="33">
        <v>1</v>
      </c>
      <c r="B9" s="11"/>
      <c r="C9" s="11"/>
      <c r="D9" s="12"/>
      <c r="E9" s="11"/>
      <c r="F9" s="13"/>
      <c r="G9" s="14"/>
      <c r="H9" s="15"/>
      <c r="I9" s="15"/>
      <c r="J9" s="31">
        <f>G9*H9 + I9</f>
        <v>0</v>
      </c>
    </row>
    <row r="10" spans="1:11" x14ac:dyDescent="0.25">
      <c r="A10" s="33">
        <v>2</v>
      </c>
      <c r="B10" s="11"/>
      <c r="C10" s="11"/>
      <c r="D10" s="12"/>
      <c r="E10" s="11"/>
      <c r="F10" s="13"/>
      <c r="G10" s="14"/>
      <c r="H10" s="15"/>
      <c r="I10" s="15"/>
      <c r="J10" s="31">
        <f t="shared" ref="J10:J26" si="0">G10*H10 + I10</f>
        <v>0</v>
      </c>
    </row>
    <row r="11" spans="1:11" x14ac:dyDescent="0.25">
      <c r="A11" s="33">
        <v>3</v>
      </c>
      <c r="B11" s="11"/>
      <c r="C11" s="11"/>
      <c r="D11" s="12"/>
      <c r="E11" s="11"/>
      <c r="F11" s="13"/>
      <c r="G11" s="14"/>
      <c r="H11" s="15"/>
      <c r="I11" s="15"/>
      <c r="J11" s="31">
        <f t="shared" si="0"/>
        <v>0</v>
      </c>
    </row>
    <row r="12" spans="1:11" x14ac:dyDescent="0.25">
      <c r="A12" s="33">
        <v>4</v>
      </c>
      <c r="B12" s="11"/>
      <c r="C12" s="11"/>
      <c r="D12" s="12"/>
      <c r="E12" s="11"/>
      <c r="F12" s="13"/>
      <c r="G12" s="14"/>
      <c r="H12" s="15"/>
      <c r="I12" s="15"/>
      <c r="J12" s="31">
        <f t="shared" si="0"/>
        <v>0</v>
      </c>
    </row>
    <row r="13" spans="1:11" x14ac:dyDescent="0.25">
      <c r="A13" s="33">
        <v>5</v>
      </c>
      <c r="B13" s="11"/>
      <c r="C13" s="11"/>
      <c r="D13" s="12"/>
      <c r="E13" s="11"/>
      <c r="F13" s="13"/>
      <c r="G13" s="14"/>
      <c r="H13" s="15"/>
      <c r="I13" s="15"/>
      <c r="J13" s="31">
        <f t="shared" si="0"/>
        <v>0</v>
      </c>
    </row>
    <row r="14" spans="1:11" x14ac:dyDescent="0.25">
      <c r="A14" s="33">
        <v>6</v>
      </c>
      <c r="B14" s="11"/>
      <c r="C14" s="11"/>
      <c r="D14" s="12"/>
      <c r="E14" s="11"/>
      <c r="F14" s="13"/>
      <c r="G14" s="14"/>
      <c r="H14" s="15"/>
      <c r="I14" s="15"/>
      <c r="J14" s="31">
        <f t="shared" si="0"/>
        <v>0</v>
      </c>
    </row>
    <row r="15" spans="1:11" x14ac:dyDescent="0.25">
      <c r="A15" s="33">
        <v>7</v>
      </c>
      <c r="B15" s="11"/>
      <c r="C15" s="11"/>
      <c r="D15" s="12"/>
      <c r="E15" s="11"/>
      <c r="F15" s="13"/>
      <c r="G15" s="14"/>
      <c r="H15" s="15"/>
      <c r="I15" s="15"/>
      <c r="J15" s="31">
        <f t="shared" si="0"/>
        <v>0</v>
      </c>
    </row>
    <row r="16" spans="1:11" x14ac:dyDescent="0.25">
      <c r="A16" s="33">
        <v>8</v>
      </c>
      <c r="B16" s="11"/>
      <c r="C16" s="11"/>
      <c r="D16" s="12"/>
      <c r="E16" s="11"/>
      <c r="F16" s="13"/>
      <c r="G16" s="14"/>
      <c r="H16" s="15"/>
      <c r="I16" s="15"/>
      <c r="J16" s="31">
        <f t="shared" si="0"/>
        <v>0</v>
      </c>
    </row>
    <row r="17" spans="1:10" x14ac:dyDescent="0.25">
      <c r="A17" s="33">
        <v>9</v>
      </c>
      <c r="B17" s="11"/>
      <c r="C17" s="11"/>
      <c r="D17" s="12"/>
      <c r="E17" s="11"/>
      <c r="F17" s="13"/>
      <c r="G17" s="14"/>
      <c r="H17" s="15"/>
      <c r="I17" s="15"/>
      <c r="J17" s="31">
        <f t="shared" si="0"/>
        <v>0</v>
      </c>
    </row>
    <row r="18" spans="1:10" x14ac:dyDescent="0.25">
      <c r="A18" s="33">
        <v>10</v>
      </c>
      <c r="B18" s="11"/>
      <c r="C18" s="11"/>
      <c r="D18" s="12"/>
      <c r="E18" s="11"/>
      <c r="F18" s="13"/>
      <c r="G18" s="14"/>
      <c r="H18" s="15"/>
      <c r="I18" s="15"/>
      <c r="J18" s="31">
        <f t="shared" si="0"/>
        <v>0</v>
      </c>
    </row>
    <row r="19" spans="1:10" x14ac:dyDescent="0.25">
      <c r="A19" s="33">
        <v>11</v>
      </c>
      <c r="B19" s="11"/>
      <c r="C19" s="11"/>
      <c r="D19" s="12"/>
      <c r="E19" s="11"/>
      <c r="F19" s="13"/>
      <c r="G19" s="14"/>
      <c r="H19" s="15"/>
      <c r="I19" s="15"/>
      <c r="J19" s="31">
        <f t="shared" si="0"/>
        <v>0</v>
      </c>
    </row>
    <row r="20" spans="1:10" x14ac:dyDescent="0.25">
      <c r="A20" s="33">
        <v>12</v>
      </c>
      <c r="B20" s="11"/>
      <c r="C20" s="11"/>
      <c r="D20" s="12"/>
      <c r="E20" s="11"/>
      <c r="F20" s="13"/>
      <c r="G20" s="14"/>
      <c r="H20" s="15"/>
      <c r="I20" s="15"/>
      <c r="J20" s="31">
        <f t="shared" si="0"/>
        <v>0</v>
      </c>
    </row>
    <row r="21" spans="1:10" x14ac:dyDescent="0.25">
      <c r="A21" s="33">
        <v>13</v>
      </c>
      <c r="B21" s="11"/>
      <c r="C21" s="11"/>
      <c r="D21" s="12"/>
      <c r="E21" s="11"/>
      <c r="F21" s="13"/>
      <c r="G21" s="14"/>
      <c r="H21" s="15"/>
      <c r="I21" s="15"/>
      <c r="J21" s="31">
        <f t="shared" si="0"/>
        <v>0</v>
      </c>
    </row>
    <row r="22" spans="1:10" x14ac:dyDescent="0.25">
      <c r="A22" s="33">
        <v>14</v>
      </c>
      <c r="B22" s="11"/>
      <c r="C22" s="11"/>
      <c r="D22" s="12"/>
      <c r="E22" s="11"/>
      <c r="F22" s="13"/>
      <c r="G22" s="14"/>
      <c r="H22" s="15"/>
      <c r="I22" s="15"/>
      <c r="J22" s="31">
        <f t="shared" si="0"/>
        <v>0</v>
      </c>
    </row>
    <row r="23" spans="1:10" x14ac:dyDescent="0.25">
      <c r="A23" s="33">
        <v>15</v>
      </c>
      <c r="B23" s="11"/>
      <c r="C23" s="11"/>
      <c r="D23" s="12"/>
      <c r="E23" s="11"/>
      <c r="F23" s="13"/>
      <c r="G23" s="14"/>
      <c r="H23" s="15"/>
      <c r="I23" s="15"/>
      <c r="J23" s="31">
        <f t="shared" si="0"/>
        <v>0</v>
      </c>
    </row>
    <row r="24" spans="1:10" x14ac:dyDescent="0.25">
      <c r="A24" s="33">
        <v>16</v>
      </c>
      <c r="B24" s="11"/>
      <c r="C24" s="11"/>
      <c r="D24" s="12"/>
      <c r="E24" s="11"/>
      <c r="F24" s="13"/>
      <c r="G24" s="14"/>
      <c r="H24" s="15"/>
      <c r="I24" s="15"/>
      <c r="J24" s="31">
        <f t="shared" si="0"/>
        <v>0</v>
      </c>
    </row>
    <row r="25" spans="1:10" x14ac:dyDescent="0.25">
      <c r="A25" s="33">
        <v>17</v>
      </c>
      <c r="B25" s="11"/>
      <c r="C25" s="11"/>
      <c r="D25" s="12"/>
      <c r="E25" s="11"/>
      <c r="F25" s="13"/>
      <c r="G25" s="14"/>
      <c r="H25" s="15"/>
      <c r="I25" s="15"/>
      <c r="J25" s="31">
        <f t="shared" si="0"/>
        <v>0</v>
      </c>
    </row>
    <row r="26" spans="1:10" x14ac:dyDescent="0.25">
      <c r="A26" s="33">
        <v>18</v>
      </c>
      <c r="B26" s="11"/>
      <c r="C26" s="11"/>
      <c r="D26" s="12"/>
      <c r="E26" s="11"/>
      <c r="F26" s="13"/>
      <c r="G26" s="14"/>
      <c r="H26" s="15"/>
      <c r="I26" s="15"/>
      <c r="J26" s="31">
        <f t="shared" si="0"/>
        <v>0</v>
      </c>
    </row>
    <row r="27" spans="1:10" ht="9.9499999999999993" customHeight="1" x14ac:dyDescent="0.25">
      <c r="A27" s="80"/>
      <c r="B27" s="39"/>
      <c r="C27" s="39"/>
      <c r="D27" s="39"/>
      <c r="E27" s="39"/>
      <c r="F27" s="39"/>
      <c r="G27" s="39"/>
      <c r="H27" s="39"/>
      <c r="I27" s="39"/>
      <c r="J27" s="40"/>
    </row>
    <row r="28" spans="1:10" ht="24" customHeight="1" x14ac:dyDescent="0.25">
      <c r="A28" s="71" t="s">
        <v>29</v>
      </c>
      <c r="B28" s="72"/>
      <c r="C28" s="72"/>
      <c r="D28" s="72"/>
      <c r="E28" s="72"/>
      <c r="F28" s="72"/>
      <c r="G28" s="72"/>
      <c r="H28" s="72"/>
      <c r="I28" s="73"/>
      <c r="J28" s="32">
        <f>SUM(J9:J26)</f>
        <v>0</v>
      </c>
    </row>
  </sheetData>
  <mergeCells count="8">
    <mergeCell ref="A6:J7"/>
    <mergeCell ref="A27:J27"/>
    <mergeCell ref="A28:I28"/>
    <mergeCell ref="B1:J1"/>
    <mergeCell ref="B2:J2"/>
    <mergeCell ref="B3:J3"/>
    <mergeCell ref="B4:J4"/>
    <mergeCell ref="A5:J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7D8158-2FF8-44A9-BEFE-1470EA475241}">
          <x14:formula1>
            <xm:f>'Vendor List'!$A$3:$A$11</xm:f>
          </x14:formula1>
          <xm:sqref>D9:D26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7D75-740A-4BC2-B229-3A659C3C3D88}">
  <sheetPr>
    <tabColor theme="4" tint="0.79998168889431442"/>
  </sheetPr>
  <dimension ref="A1:K28"/>
  <sheetViews>
    <sheetView workbookViewId="0">
      <selection activeCell="B3" sqref="B3:J3"/>
    </sheetView>
  </sheetViews>
  <sheetFormatPr defaultColWidth="9" defaultRowHeight="15" x14ac:dyDescent="0.25"/>
  <cols>
    <col min="1" max="1" width="12.28515625" customWidth="1"/>
    <col min="2" max="2" width="24" customWidth="1"/>
    <col min="3" max="3" width="37.140625" customWidth="1"/>
    <col min="4" max="4" width="22.140625" customWidth="1"/>
    <col min="5" max="5" width="21.28515625" customWidth="1"/>
    <col min="6" max="6" width="20.42578125" customWidth="1"/>
    <col min="7" max="7" width="11.5703125" style="2" customWidth="1"/>
    <col min="8" max="9" width="11.7109375" style="2" customWidth="1"/>
    <col min="10" max="10" width="15.42578125" style="2" customWidth="1"/>
  </cols>
  <sheetData>
    <row r="1" spans="1:11" s="28" customFormat="1" ht="21" x14ac:dyDescent="0.25">
      <c r="A1" s="26" t="s">
        <v>18</v>
      </c>
      <c r="B1" s="67"/>
      <c r="C1" s="68"/>
      <c r="D1" s="68"/>
      <c r="E1" s="68"/>
      <c r="F1" s="68"/>
      <c r="G1" s="68"/>
      <c r="H1" s="68"/>
      <c r="I1" s="68"/>
      <c r="J1" s="69"/>
      <c r="K1" s="27"/>
    </row>
    <row r="2" spans="1:11" s="28" customFormat="1" ht="21" x14ac:dyDescent="0.25">
      <c r="A2" s="29" t="s">
        <v>17</v>
      </c>
      <c r="B2" s="70"/>
      <c r="C2" s="65"/>
      <c r="D2" s="65"/>
      <c r="E2" s="65"/>
      <c r="F2" s="65"/>
      <c r="G2" s="65"/>
      <c r="H2" s="65"/>
      <c r="I2" s="65"/>
      <c r="J2" s="66"/>
      <c r="K2" s="27"/>
    </row>
    <row r="3" spans="1:11" s="28" customFormat="1" ht="21" x14ac:dyDescent="0.25">
      <c r="A3" s="29" t="s">
        <v>31</v>
      </c>
      <c r="B3" s="70">
        <v>5</v>
      </c>
      <c r="C3" s="65"/>
      <c r="D3" s="65"/>
      <c r="E3" s="65"/>
      <c r="F3" s="65"/>
      <c r="G3" s="65"/>
      <c r="H3" s="65"/>
      <c r="I3" s="65"/>
      <c r="J3" s="66"/>
      <c r="K3" s="27"/>
    </row>
    <row r="4" spans="1:11" s="28" customFormat="1" ht="21" x14ac:dyDescent="0.25">
      <c r="A4" s="29" t="s">
        <v>19</v>
      </c>
      <c r="B4" s="64" t="s">
        <v>13</v>
      </c>
      <c r="C4" s="65"/>
      <c r="D4" s="65"/>
      <c r="E4" s="65"/>
      <c r="F4" s="65"/>
      <c r="G4" s="65"/>
      <c r="H4" s="65"/>
      <c r="I4" s="65"/>
      <c r="J4" s="66"/>
      <c r="K4" s="27"/>
    </row>
    <row r="5" spans="1:11" s="8" customFormat="1" ht="21.75" thickBot="1" x14ac:dyDescent="0.3">
      <c r="A5" s="51"/>
      <c r="B5" s="52"/>
      <c r="C5" s="52"/>
      <c r="D5" s="52"/>
      <c r="E5" s="52"/>
      <c r="F5" s="52"/>
      <c r="G5" s="52"/>
      <c r="H5" s="52"/>
      <c r="I5" s="52"/>
      <c r="J5" s="53"/>
      <c r="K5" s="7"/>
    </row>
    <row r="6" spans="1:11" x14ac:dyDescent="0.25">
      <c r="A6" s="74" t="s">
        <v>14</v>
      </c>
      <c r="B6" s="75"/>
      <c r="C6" s="75"/>
      <c r="D6" s="75"/>
      <c r="E6" s="75"/>
      <c r="F6" s="75"/>
      <c r="G6" s="75"/>
      <c r="H6" s="75"/>
      <c r="I6" s="75"/>
      <c r="J6" s="76"/>
    </row>
    <row r="7" spans="1:11" ht="15.75" thickBot="1" x14ac:dyDescent="0.3">
      <c r="A7" s="77"/>
      <c r="B7" s="78"/>
      <c r="C7" s="78"/>
      <c r="D7" s="78"/>
      <c r="E7" s="78"/>
      <c r="F7" s="78"/>
      <c r="G7" s="78"/>
      <c r="H7" s="78"/>
      <c r="I7" s="78"/>
      <c r="J7" s="79"/>
    </row>
    <row r="8" spans="1:11" ht="24" customHeight="1" x14ac:dyDescent="0.25">
      <c r="A8" s="30" t="s">
        <v>32</v>
      </c>
      <c r="B8" s="22" t="s">
        <v>20</v>
      </c>
      <c r="C8" s="23" t="s">
        <v>21</v>
      </c>
      <c r="D8" s="23" t="s">
        <v>22</v>
      </c>
      <c r="E8" s="22" t="s">
        <v>23</v>
      </c>
      <c r="F8" s="22" t="s">
        <v>24</v>
      </c>
      <c r="G8" s="22" t="s">
        <v>25</v>
      </c>
      <c r="H8" s="24" t="s">
        <v>26</v>
      </c>
      <c r="I8" s="20" t="s">
        <v>30</v>
      </c>
      <c r="J8" s="21" t="s">
        <v>27</v>
      </c>
    </row>
    <row r="9" spans="1:11" x14ac:dyDescent="0.25">
      <c r="A9" s="33">
        <v>1</v>
      </c>
      <c r="B9" s="11"/>
      <c r="C9" s="11"/>
      <c r="D9" s="12"/>
      <c r="E9" s="11"/>
      <c r="F9" s="13"/>
      <c r="G9" s="14"/>
      <c r="H9" s="15"/>
      <c r="I9" s="15"/>
      <c r="J9" s="31">
        <f>G9*H9 + I9</f>
        <v>0</v>
      </c>
    </row>
    <row r="10" spans="1:11" x14ac:dyDescent="0.25">
      <c r="A10" s="33">
        <v>2</v>
      </c>
      <c r="B10" s="11"/>
      <c r="C10" s="11"/>
      <c r="D10" s="12"/>
      <c r="E10" s="11"/>
      <c r="F10" s="13"/>
      <c r="G10" s="14"/>
      <c r="H10" s="15"/>
      <c r="I10" s="15"/>
      <c r="J10" s="31">
        <f t="shared" ref="J10:J26" si="0">G10*H10 + I10</f>
        <v>0</v>
      </c>
    </row>
    <row r="11" spans="1:11" x14ac:dyDescent="0.25">
      <c r="A11" s="33">
        <v>3</v>
      </c>
      <c r="B11" s="11"/>
      <c r="C11" s="11"/>
      <c r="D11" s="12"/>
      <c r="E11" s="11"/>
      <c r="F11" s="13"/>
      <c r="G11" s="14"/>
      <c r="H11" s="15"/>
      <c r="I11" s="15"/>
      <c r="J11" s="31">
        <f t="shared" si="0"/>
        <v>0</v>
      </c>
    </row>
    <row r="12" spans="1:11" x14ac:dyDescent="0.25">
      <c r="A12" s="33">
        <v>4</v>
      </c>
      <c r="B12" s="11"/>
      <c r="C12" s="11"/>
      <c r="D12" s="12"/>
      <c r="E12" s="11"/>
      <c r="F12" s="13"/>
      <c r="G12" s="14"/>
      <c r="H12" s="15"/>
      <c r="I12" s="15"/>
      <c r="J12" s="31">
        <f t="shared" si="0"/>
        <v>0</v>
      </c>
    </row>
    <row r="13" spans="1:11" x14ac:dyDescent="0.25">
      <c r="A13" s="33">
        <v>5</v>
      </c>
      <c r="B13" s="11"/>
      <c r="C13" s="11"/>
      <c r="D13" s="12"/>
      <c r="E13" s="11"/>
      <c r="F13" s="13"/>
      <c r="G13" s="14"/>
      <c r="H13" s="15"/>
      <c r="I13" s="15"/>
      <c r="J13" s="31">
        <f t="shared" si="0"/>
        <v>0</v>
      </c>
    </row>
    <row r="14" spans="1:11" x14ac:dyDescent="0.25">
      <c r="A14" s="33">
        <v>6</v>
      </c>
      <c r="B14" s="11"/>
      <c r="C14" s="11"/>
      <c r="D14" s="12"/>
      <c r="E14" s="11"/>
      <c r="F14" s="13"/>
      <c r="G14" s="14"/>
      <c r="H14" s="15"/>
      <c r="I14" s="15"/>
      <c r="J14" s="31">
        <f t="shared" si="0"/>
        <v>0</v>
      </c>
    </row>
    <row r="15" spans="1:11" x14ac:dyDescent="0.25">
      <c r="A15" s="33">
        <v>7</v>
      </c>
      <c r="B15" s="11"/>
      <c r="C15" s="11"/>
      <c r="D15" s="12"/>
      <c r="E15" s="11"/>
      <c r="F15" s="13"/>
      <c r="G15" s="14"/>
      <c r="H15" s="15"/>
      <c r="I15" s="15"/>
      <c r="J15" s="31">
        <f t="shared" si="0"/>
        <v>0</v>
      </c>
    </row>
    <row r="16" spans="1:11" x14ac:dyDescent="0.25">
      <c r="A16" s="33">
        <v>8</v>
      </c>
      <c r="B16" s="11"/>
      <c r="C16" s="11"/>
      <c r="D16" s="12"/>
      <c r="E16" s="11"/>
      <c r="F16" s="13"/>
      <c r="G16" s="14"/>
      <c r="H16" s="15"/>
      <c r="I16" s="15"/>
      <c r="J16" s="31">
        <f t="shared" si="0"/>
        <v>0</v>
      </c>
    </row>
    <row r="17" spans="1:10" x14ac:dyDescent="0.25">
      <c r="A17" s="33">
        <v>9</v>
      </c>
      <c r="B17" s="11"/>
      <c r="C17" s="11"/>
      <c r="D17" s="12"/>
      <c r="E17" s="11"/>
      <c r="F17" s="13"/>
      <c r="G17" s="14"/>
      <c r="H17" s="15"/>
      <c r="I17" s="15"/>
      <c r="J17" s="31">
        <f t="shared" si="0"/>
        <v>0</v>
      </c>
    </row>
    <row r="18" spans="1:10" x14ac:dyDescent="0.25">
      <c r="A18" s="33">
        <v>10</v>
      </c>
      <c r="B18" s="11"/>
      <c r="C18" s="11"/>
      <c r="D18" s="12"/>
      <c r="E18" s="11"/>
      <c r="F18" s="13"/>
      <c r="G18" s="14"/>
      <c r="H18" s="15"/>
      <c r="I18" s="15"/>
      <c r="J18" s="31">
        <f t="shared" si="0"/>
        <v>0</v>
      </c>
    </row>
    <row r="19" spans="1:10" x14ac:dyDescent="0.25">
      <c r="A19" s="33">
        <v>11</v>
      </c>
      <c r="B19" s="11"/>
      <c r="C19" s="11"/>
      <c r="D19" s="12"/>
      <c r="E19" s="11"/>
      <c r="F19" s="13"/>
      <c r="G19" s="14"/>
      <c r="H19" s="15"/>
      <c r="I19" s="15"/>
      <c r="J19" s="31">
        <f t="shared" si="0"/>
        <v>0</v>
      </c>
    </row>
    <row r="20" spans="1:10" x14ac:dyDescent="0.25">
      <c r="A20" s="33">
        <v>12</v>
      </c>
      <c r="B20" s="11"/>
      <c r="C20" s="11"/>
      <c r="D20" s="12"/>
      <c r="E20" s="11"/>
      <c r="F20" s="13"/>
      <c r="G20" s="14"/>
      <c r="H20" s="15"/>
      <c r="I20" s="15"/>
      <c r="J20" s="31">
        <f t="shared" si="0"/>
        <v>0</v>
      </c>
    </row>
    <row r="21" spans="1:10" x14ac:dyDescent="0.25">
      <c r="A21" s="33">
        <v>13</v>
      </c>
      <c r="B21" s="11"/>
      <c r="C21" s="11"/>
      <c r="D21" s="12"/>
      <c r="E21" s="11"/>
      <c r="F21" s="13"/>
      <c r="G21" s="14"/>
      <c r="H21" s="15"/>
      <c r="I21" s="15"/>
      <c r="J21" s="31">
        <f t="shared" si="0"/>
        <v>0</v>
      </c>
    </row>
    <row r="22" spans="1:10" x14ac:dyDescent="0.25">
      <c r="A22" s="33">
        <v>14</v>
      </c>
      <c r="B22" s="11"/>
      <c r="C22" s="11"/>
      <c r="D22" s="12"/>
      <c r="E22" s="11"/>
      <c r="F22" s="13"/>
      <c r="G22" s="14"/>
      <c r="H22" s="15"/>
      <c r="I22" s="15"/>
      <c r="J22" s="31">
        <f t="shared" si="0"/>
        <v>0</v>
      </c>
    </row>
    <row r="23" spans="1:10" x14ac:dyDescent="0.25">
      <c r="A23" s="33">
        <v>15</v>
      </c>
      <c r="B23" s="11"/>
      <c r="C23" s="11"/>
      <c r="D23" s="12"/>
      <c r="E23" s="11"/>
      <c r="F23" s="13"/>
      <c r="G23" s="14"/>
      <c r="H23" s="15"/>
      <c r="I23" s="15"/>
      <c r="J23" s="31">
        <f t="shared" si="0"/>
        <v>0</v>
      </c>
    </row>
    <row r="24" spans="1:10" x14ac:dyDescent="0.25">
      <c r="A24" s="33">
        <v>16</v>
      </c>
      <c r="B24" s="11"/>
      <c r="C24" s="11"/>
      <c r="D24" s="12"/>
      <c r="E24" s="11"/>
      <c r="F24" s="13"/>
      <c r="G24" s="14"/>
      <c r="H24" s="15"/>
      <c r="I24" s="15"/>
      <c r="J24" s="31">
        <f t="shared" si="0"/>
        <v>0</v>
      </c>
    </row>
    <row r="25" spans="1:10" x14ac:dyDescent="0.25">
      <c r="A25" s="33">
        <v>17</v>
      </c>
      <c r="B25" s="11"/>
      <c r="C25" s="11"/>
      <c r="D25" s="12"/>
      <c r="E25" s="11"/>
      <c r="F25" s="13"/>
      <c r="G25" s="14"/>
      <c r="H25" s="15"/>
      <c r="I25" s="15"/>
      <c r="J25" s="31">
        <f t="shared" si="0"/>
        <v>0</v>
      </c>
    </row>
    <row r="26" spans="1:10" x14ac:dyDescent="0.25">
      <c r="A26" s="33">
        <v>18</v>
      </c>
      <c r="B26" s="11"/>
      <c r="C26" s="11"/>
      <c r="D26" s="12"/>
      <c r="E26" s="11"/>
      <c r="F26" s="13"/>
      <c r="G26" s="14"/>
      <c r="H26" s="15"/>
      <c r="I26" s="15"/>
      <c r="J26" s="31">
        <f t="shared" si="0"/>
        <v>0</v>
      </c>
    </row>
    <row r="27" spans="1:10" ht="9.9499999999999993" customHeight="1" x14ac:dyDescent="0.25">
      <c r="A27" s="80"/>
      <c r="B27" s="39"/>
      <c r="C27" s="39"/>
      <c r="D27" s="39"/>
      <c r="E27" s="39"/>
      <c r="F27" s="39"/>
      <c r="G27" s="39"/>
      <c r="H27" s="39"/>
      <c r="I27" s="39"/>
      <c r="J27" s="40"/>
    </row>
    <row r="28" spans="1:10" ht="24" customHeight="1" x14ac:dyDescent="0.25">
      <c r="A28" s="71" t="s">
        <v>29</v>
      </c>
      <c r="B28" s="72"/>
      <c r="C28" s="72"/>
      <c r="D28" s="72"/>
      <c r="E28" s="72"/>
      <c r="F28" s="72"/>
      <c r="G28" s="72"/>
      <c r="H28" s="72"/>
      <c r="I28" s="73"/>
      <c r="J28" s="32">
        <f>SUM(J9:J26)</f>
        <v>0</v>
      </c>
    </row>
  </sheetData>
  <mergeCells count="8">
    <mergeCell ref="A6:J7"/>
    <mergeCell ref="A27:J27"/>
    <mergeCell ref="A28:I28"/>
    <mergeCell ref="B1:J1"/>
    <mergeCell ref="B2:J2"/>
    <mergeCell ref="B3:J3"/>
    <mergeCell ref="B4:J4"/>
    <mergeCell ref="A5:J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185BCB-7569-4E50-B70F-34895811294E}">
          <x14:formula1>
            <xm:f>'Vendor List'!$A$3:$A$11</xm:f>
          </x14:formula1>
          <xm:sqref>D9:D26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6FE8-0928-4C13-8113-FEFB0665D2F0}">
  <sheetPr>
    <tabColor theme="4" tint="0.79998168889431442"/>
  </sheetPr>
  <dimension ref="A1:K28"/>
  <sheetViews>
    <sheetView workbookViewId="0">
      <selection activeCell="B3" sqref="B3:J3"/>
    </sheetView>
  </sheetViews>
  <sheetFormatPr defaultColWidth="9" defaultRowHeight="15" x14ac:dyDescent="0.25"/>
  <cols>
    <col min="1" max="1" width="12.28515625" customWidth="1"/>
    <col min="2" max="2" width="24" customWidth="1"/>
    <col min="3" max="3" width="37.140625" customWidth="1"/>
    <col min="4" max="4" width="22.140625" customWidth="1"/>
    <col min="5" max="5" width="21.28515625" customWidth="1"/>
    <col min="6" max="6" width="20.42578125" customWidth="1"/>
    <col min="7" max="7" width="11.5703125" style="2" customWidth="1"/>
    <col min="8" max="9" width="11.7109375" style="2" customWidth="1"/>
    <col min="10" max="10" width="15.42578125" style="2" customWidth="1"/>
  </cols>
  <sheetData>
    <row r="1" spans="1:11" s="28" customFormat="1" ht="21" x14ac:dyDescent="0.25">
      <c r="A1" s="26" t="s">
        <v>18</v>
      </c>
      <c r="B1" s="67"/>
      <c r="C1" s="68"/>
      <c r="D1" s="68"/>
      <c r="E1" s="68"/>
      <c r="F1" s="68"/>
      <c r="G1" s="68"/>
      <c r="H1" s="68"/>
      <c r="I1" s="68"/>
      <c r="J1" s="69"/>
      <c r="K1" s="27"/>
    </row>
    <row r="2" spans="1:11" s="28" customFormat="1" ht="21" x14ac:dyDescent="0.25">
      <c r="A2" s="29" t="s">
        <v>17</v>
      </c>
      <c r="B2" s="70"/>
      <c r="C2" s="65"/>
      <c r="D2" s="65"/>
      <c r="E2" s="65"/>
      <c r="F2" s="65"/>
      <c r="G2" s="65"/>
      <c r="H2" s="65"/>
      <c r="I2" s="65"/>
      <c r="J2" s="66"/>
      <c r="K2" s="27"/>
    </row>
    <row r="3" spans="1:11" s="28" customFormat="1" ht="21" x14ac:dyDescent="0.25">
      <c r="A3" s="29" t="s">
        <v>31</v>
      </c>
      <c r="B3" s="70">
        <v>6</v>
      </c>
      <c r="C3" s="65"/>
      <c r="D3" s="65"/>
      <c r="E3" s="65"/>
      <c r="F3" s="65"/>
      <c r="G3" s="65"/>
      <c r="H3" s="65"/>
      <c r="I3" s="65"/>
      <c r="J3" s="66"/>
      <c r="K3" s="27"/>
    </row>
    <row r="4" spans="1:11" s="28" customFormat="1" ht="21" x14ac:dyDescent="0.25">
      <c r="A4" s="29" t="s">
        <v>19</v>
      </c>
      <c r="B4" s="64" t="s">
        <v>13</v>
      </c>
      <c r="C4" s="65"/>
      <c r="D4" s="65"/>
      <c r="E4" s="65"/>
      <c r="F4" s="65"/>
      <c r="G4" s="65"/>
      <c r="H4" s="65"/>
      <c r="I4" s="65"/>
      <c r="J4" s="66"/>
      <c r="K4" s="27"/>
    </row>
    <row r="5" spans="1:11" s="8" customFormat="1" ht="21.75" thickBot="1" x14ac:dyDescent="0.3">
      <c r="A5" s="51"/>
      <c r="B5" s="52"/>
      <c r="C5" s="52"/>
      <c r="D5" s="52"/>
      <c r="E5" s="52"/>
      <c r="F5" s="52"/>
      <c r="G5" s="52"/>
      <c r="H5" s="52"/>
      <c r="I5" s="52"/>
      <c r="J5" s="53"/>
      <c r="K5" s="7"/>
    </row>
    <row r="6" spans="1:11" x14ac:dyDescent="0.25">
      <c r="A6" s="74" t="s">
        <v>14</v>
      </c>
      <c r="B6" s="75"/>
      <c r="C6" s="75"/>
      <c r="D6" s="75"/>
      <c r="E6" s="75"/>
      <c r="F6" s="75"/>
      <c r="G6" s="75"/>
      <c r="H6" s="75"/>
      <c r="I6" s="75"/>
      <c r="J6" s="76"/>
    </row>
    <row r="7" spans="1:11" ht="15.75" thickBot="1" x14ac:dyDescent="0.3">
      <c r="A7" s="77"/>
      <c r="B7" s="78"/>
      <c r="C7" s="78"/>
      <c r="D7" s="78"/>
      <c r="E7" s="78"/>
      <c r="F7" s="78"/>
      <c r="G7" s="78"/>
      <c r="H7" s="78"/>
      <c r="I7" s="78"/>
      <c r="J7" s="79"/>
    </row>
    <row r="8" spans="1:11" ht="24" customHeight="1" x14ac:dyDescent="0.25">
      <c r="A8" s="30" t="s">
        <v>32</v>
      </c>
      <c r="B8" s="22" t="s">
        <v>20</v>
      </c>
      <c r="C8" s="23" t="s">
        <v>21</v>
      </c>
      <c r="D8" s="23" t="s">
        <v>22</v>
      </c>
      <c r="E8" s="22" t="s">
        <v>23</v>
      </c>
      <c r="F8" s="22" t="s">
        <v>24</v>
      </c>
      <c r="G8" s="22" t="s">
        <v>25</v>
      </c>
      <c r="H8" s="24" t="s">
        <v>26</v>
      </c>
      <c r="I8" s="20" t="s">
        <v>30</v>
      </c>
      <c r="J8" s="21" t="s">
        <v>27</v>
      </c>
    </row>
    <row r="9" spans="1:11" x14ac:dyDescent="0.25">
      <c r="A9" s="33">
        <v>1</v>
      </c>
      <c r="B9" s="11"/>
      <c r="C9" s="11"/>
      <c r="D9" s="12"/>
      <c r="E9" s="11"/>
      <c r="F9" s="13"/>
      <c r="G9" s="14"/>
      <c r="H9" s="15"/>
      <c r="I9" s="15"/>
      <c r="J9" s="31">
        <f>G9*H9 + I9</f>
        <v>0</v>
      </c>
    </row>
    <row r="10" spans="1:11" x14ac:dyDescent="0.25">
      <c r="A10" s="33">
        <v>2</v>
      </c>
      <c r="B10" s="11"/>
      <c r="C10" s="11"/>
      <c r="D10" s="12"/>
      <c r="E10" s="11"/>
      <c r="F10" s="13"/>
      <c r="G10" s="14"/>
      <c r="H10" s="15"/>
      <c r="I10" s="15"/>
      <c r="J10" s="31">
        <f t="shared" ref="J10:J26" si="0">G10*H10 + I10</f>
        <v>0</v>
      </c>
    </row>
    <row r="11" spans="1:11" x14ac:dyDescent="0.25">
      <c r="A11" s="33">
        <v>3</v>
      </c>
      <c r="B11" s="11"/>
      <c r="C11" s="11"/>
      <c r="D11" s="12"/>
      <c r="E11" s="11"/>
      <c r="F11" s="13"/>
      <c r="G11" s="14"/>
      <c r="H11" s="15"/>
      <c r="I11" s="15"/>
      <c r="J11" s="31">
        <f t="shared" si="0"/>
        <v>0</v>
      </c>
    </row>
    <row r="12" spans="1:11" x14ac:dyDescent="0.25">
      <c r="A12" s="33">
        <v>4</v>
      </c>
      <c r="B12" s="11"/>
      <c r="C12" s="11"/>
      <c r="D12" s="12"/>
      <c r="E12" s="11"/>
      <c r="F12" s="13"/>
      <c r="G12" s="14"/>
      <c r="H12" s="15"/>
      <c r="I12" s="15"/>
      <c r="J12" s="31">
        <f t="shared" si="0"/>
        <v>0</v>
      </c>
    </row>
    <row r="13" spans="1:11" x14ac:dyDescent="0.25">
      <c r="A13" s="33">
        <v>5</v>
      </c>
      <c r="B13" s="11"/>
      <c r="C13" s="11"/>
      <c r="D13" s="12"/>
      <c r="E13" s="11"/>
      <c r="F13" s="13"/>
      <c r="G13" s="14"/>
      <c r="H13" s="15"/>
      <c r="I13" s="15"/>
      <c r="J13" s="31">
        <f t="shared" si="0"/>
        <v>0</v>
      </c>
    </row>
    <row r="14" spans="1:11" x14ac:dyDescent="0.25">
      <c r="A14" s="33">
        <v>6</v>
      </c>
      <c r="B14" s="11"/>
      <c r="C14" s="11"/>
      <c r="D14" s="12"/>
      <c r="E14" s="11"/>
      <c r="F14" s="13"/>
      <c r="G14" s="14"/>
      <c r="H14" s="15"/>
      <c r="I14" s="15"/>
      <c r="J14" s="31">
        <f t="shared" si="0"/>
        <v>0</v>
      </c>
    </row>
    <row r="15" spans="1:11" x14ac:dyDescent="0.25">
      <c r="A15" s="33">
        <v>7</v>
      </c>
      <c r="B15" s="11"/>
      <c r="C15" s="11"/>
      <c r="D15" s="12"/>
      <c r="E15" s="11"/>
      <c r="F15" s="13"/>
      <c r="G15" s="14"/>
      <c r="H15" s="15"/>
      <c r="I15" s="15"/>
      <c r="J15" s="31">
        <f t="shared" si="0"/>
        <v>0</v>
      </c>
    </row>
    <row r="16" spans="1:11" x14ac:dyDescent="0.25">
      <c r="A16" s="33">
        <v>8</v>
      </c>
      <c r="B16" s="11"/>
      <c r="C16" s="11"/>
      <c r="D16" s="12"/>
      <c r="E16" s="11"/>
      <c r="F16" s="13"/>
      <c r="G16" s="14"/>
      <c r="H16" s="15"/>
      <c r="I16" s="15"/>
      <c r="J16" s="31">
        <f t="shared" si="0"/>
        <v>0</v>
      </c>
    </row>
    <row r="17" spans="1:10" x14ac:dyDescent="0.25">
      <c r="A17" s="33">
        <v>9</v>
      </c>
      <c r="B17" s="11"/>
      <c r="C17" s="11"/>
      <c r="D17" s="12"/>
      <c r="E17" s="11"/>
      <c r="F17" s="13"/>
      <c r="G17" s="14"/>
      <c r="H17" s="15"/>
      <c r="I17" s="15"/>
      <c r="J17" s="31">
        <f t="shared" si="0"/>
        <v>0</v>
      </c>
    </row>
    <row r="18" spans="1:10" x14ac:dyDescent="0.25">
      <c r="A18" s="33">
        <v>10</v>
      </c>
      <c r="B18" s="11"/>
      <c r="C18" s="11"/>
      <c r="D18" s="12"/>
      <c r="E18" s="11"/>
      <c r="F18" s="13"/>
      <c r="G18" s="14"/>
      <c r="H18" s="15"/>
      <c r="I18" s="15"/>
      <c r="J18" s="31">
        <f t="shared" si="0"/>
        <v>0</v>
      </c>
    </row>
    <row r="19" spans="1:10" x14ac:dyDescent="0.25">
      <c r="A19" s="33">
        <v>11</v>
      </c>
      <c r="B19" s="11"/>
      <c r="C19" s="11"/>
      <c r="D19" s="12"/>
      <c r="E19" s="11"/>
      <c r="F19" s="13"/>
      <c r="G19" s="14"/>
      <c r="H19" s="15"/>
      <c r="I19" s="15"/>
      <c r="J19" s="31">
        <f t="shared" si="0"/>
        <v>0</v>
      </c>
    </row>
    <row r="20" spans="1:10" x14ac:dyDescent="0.25">
      <c r="A20" s="33">
        <v>12</v>
      </c>
      <c r="B20" s="11"/>
      <c r="C20" s="11"/>
      <c r="D20" s="12"/>
      <c r="E20" s="11"/>
      <c r="F20" s="13"/>
      <c r="G20" s="14"/>
      <c r="H20" s="15"/>
      <c r="I20" s="15"/>
      <c r="J20" s="31">
        <f t="shared" si="0"/>
        <v>0</v>
      </c>
    </row>
    <row r="21" spans="1:10" x14ac:dyDescent="0.25">
      <c r="A21" s="33">
        <v>13</v>
      </c>
      <c r="B21" s="11"/>
      <c r="C21" s="11"/>
      <c r="D21" s="12"/>
      <c r="E21" s="11"/>
      <c r="F21" s="13"/>
      <c r="G21" s="14"/>
      <c r="H21" s="15"/>
      <c r="I21" s="15"/>
      <c r="J21" s="31">
        <f t="shared" si="0"/>
        <v>0</v>
      </c>
    </row>
    <row r="22" spans="1:10" x14ac:dyDescent="0.25">
      <c r="A22" s="33">
        <v>14</v>
      </c>
      <c r="B22" s="11"/>
      <c r="C22" s="11"/>
      <c r="D22" s="12"/>
      <c r="E22" s="11"/>
      <c r="F22" s="13"/>
      <c r="G22" s="14"/>
      <c r="H22" s="15"/>
      <c r="I22" s="15"/>
      <c r="J22" s="31">
        <f t="shared" si="0"/>
        <v>0</v>
      </c>
    </row>
    <row r="23" spans="1:10" x14ac:dyDescent="0.25">
      <c r="A23" s="33">
        <v>15</v>
      </c>
      <c r="B23" s="11"/>
      <c r="C23" s="11"/>
      <c r="D23" s="12"/>
      <c r="E23" s="11"/>
      <c r="F23" s="13"/>
      <c r="G23" s="14"/>
      <c r="H23" s="15"/>
      <c r="I23" s="15"/>
      <c r="J23" s="31">
        <f t="shared" si="0"/>
        <v>0</v>
      </c>
    </row>
    <row r="24" spans="1:10" x14ac:dyDescent="0.25">
      <c r="A24" s="33">
        <v>16</v>
      </c>
      <c r="B24" s="11"/>
      <c r="C24" s="11"/>
      <c r="D24" s="12"/>
      <c r="E24" s="11"/>
      <c r="F24" s="13"/>
      <c r="G24" s="14"/>
      <c r="H24" s="15"/>
      <c r="I24" s="15"/>
      <c r="J24" s="31">
        <f t="shared" si="0"/>
        <v>0</v>
      </c>
    </row>
    <row r="25" spans="1:10" x14ac:dyDescent="0.25">
      <c r="A25" s="33">
        <v>17</v>
      </c>
      <c r="B25" s="11"/>
      <c r="C25" s="11"/>
      <c r="D25" s="12"/>
      <c r="E25" s="11"/>
      <c r="F25" s="13"/>
      <c r="G25" s="14"/>
      <c r="H25" s="15"/>
      <c r="I25" s="15"/>
      <c r="J25" s="31">
        <f t="shared" si="0"/>
        <v>0</v>
      </c>
    </row>
    <row r="26" spans="1:10" x14ac:dyDescent="0.25">
      <c r="A26" s="33">
        <v>18</v>
      </c>
      <c r="B26" s="11"/>
      <c r="C26" s="11"/>
      <c r="D26" s="12"/>
      <c r="E26" s="11"/>
      <c r="F26" s="13"/>
      <c r="G26" s="14"/>
      <c r="H26" s="15"/>
      <c r="I26" s="15"/>
      <c r="J26" s="31">
        <f t="shared" si="0"/>
        <v>0</v>
      </c>
    </row>
    <row r="27" spans="1:10" ht="9.9499999999999993" customHeight="1" x14ac:dyDescent="0.25">
      <c r="A27" s="80"/>
      <c r="B27" s="39"/>
      <c r="C27" s="39"/>
      <c r="D27" s="39"/>
      <c r="E27" s="39"/>
      <c r="F27" s="39"/>
      <c r="G27" s="39"/>
      <c r="H27" s="39"/>
      <c r="I27" s="39"/>
      <c r="J27" s="40"/>
    </row>
    <row r="28" spans="1:10" ht="24" customHeight="1" x14ac:dyDescent="0.25">
      <c r="A28" s="71" t="s">
        <v>29</v>
      </c>
      <c r="B28" s="72"/>
      <c r="C28" s="72"/>
      <c r="D28" s="72"/>
      <c r="E28" s="72"/>
      <c r="F28" s="72"/>
      <c r="G28" s="72"/>
      <c r="H28" s="72"/>
      <c r="I28" s="73"/>
      <c r="J28" s="32">
        <f>SUM(J9:J26)</f>
        <v>0</v>
      </c>
    </row>
  </sheetData>
  <mergeCells count="8">
    <mergeCell ref="A28:I28"/>
    <mergeCell ref="B1:J1"/>
    <mergeCell ref="B2:J2"/>
    <mergeCell ref="B3:J3"/>
    <mergeCell ref="B4:J4"/>
    <mergeCell ref="A5:J5"/>
    <mergeCell ref="A6:J7"/>
    <mergeCell ref="A27:J2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543E08-9D2B-4286-BC20-B84505D4A1A9}">
          <x14:formula1>
            <xm:f>'Vendor List'!$A$3:$A$11</xm:f>
          </x14:formula1>
          <xm:sqref>D9:D26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55E2-8020-4057-8737-536D90DA60F8}">
  <sheetPr>
    <tabColor theme="4" tint="0.79998168889431442"/>
  </sheetPr>
  <dimension ref="A1:K28"/>
  <sheetViews>
    <sheetView workbookViewId="0">
      <selection activeCell="B3" sqref="B3:J3"/>
    </sheetView>
  </sheetViews>
  <sheetFormatPr defaultColWidth="9" defaultRowHeight="15" x14ac:dyDescent="0.25"/>
  <cols>
    <col min="1" max="1" width="12.28515625" customWidth="1"/>
    <col min="2" max="2" width="24" customWidth="1"/>
    <col min="3" max="3" width="37.140625" customWidth="1"/>
    <col min="4" max="4" width="22.140625" customWidth="1"/>
    <col min="5" max="5" width="21.28515625" customWidth="1"/>
    <col min="6" max="6" width="20.42578125" customWidth="1"/>
    <col min="7" max="7" width="11.5703125" style="2" customWidth="1"/>
    <col min="8" max="9" width="11.7109375" style="2" customWidth="1"/>
    <col min="10" max="10" width="15.42578125" style="2" customWidth="1"/>
  </cols>
  <sheetData>
    <row r="1" spans="1:11" s="28" customFormat="1" ht="21" x14ac:dyDescent="0.25">
      <c r="A1" s="26" t="s">
        <v>18</v>
      </c>
      <c r="B1" s="67"/>
      <c r="C1" s="68"/>
      <c r="D1" s="68"/>
      <c r="E1" s="68"/>
      <c r="F1" s="68"/>
      <c r="G1" s="68"/>
      <c r="H1" s="68"/>
      <c r="I1" s="68"/>
      <c r="J1" s="69"/>
      <c r="K1" s="27"/>
    </row>
    <row r="2" spans="1:11" s="28" customFormat="1" ht="21" x14ac:dyDescent="0.25">
      <c r="A2" s="29" t="s">
        <v>17</v>
      </c>
      <c r="B2" s="70"/>
      <c r="C2" s="65"/>
      <c r="D2" s="65"/>
      <c r="E2" s="65"/>
      <c r="F2" s="65"/>
      <c r="G2" s="65"/>
      <c r="H2" s="65"/>
      <c r="I2" s="65"/>
      <c r="J2" s="66"/>
      <c r="K2" s="27"/>
    </row>
    <row r="3" spans="1:11" s="28" customFormat="1" ht="21" x14ac:dyDescent="0.25">
      <c r="A3" s="29" t="s">
        <v>31</v>
      </c>
      <c r="B3" s="70">
        <v>7</v>
      </c>
      <c r="C3" s="65"/>
      <c r="D3" s="65"/>
      <c r="E3" s="65"/>
      <c r="F3" s="65"/>
      <c r="G3" s="65"/>
      <c r="H3" s="65"/>
      <c r="I3" s="65"/>
      <c r="J3" s="66"/>
      <c r="K3" s="27"/>
    </row>
    <row r="4" spans="1:11" s="28" customFormat="1" ht="21" x14ac:dyDescent="0.25">
      <c r="A4" s="29" t="s">
        <v>19</v>
      </c>
      <c r="B4" s="64" t="s">
        <v>13</v>
      </c>
      <c r="C4" s="65"/>
      <c r="D4" s="65"/>
      <c r="E4" s="65"/>
      <c r="F4" s="65"/>
      <c r="G4" s="65"/>
      <c r="H4" s="65"/>
      <c r="I4" s="65"/>
      <c r="J4" s="66"/>
      <c r="K4" s="27"/>
    </row>
    <row r="5" spans="1:11" s="8" customFormat="1" ht="21.75" thickBot="1" x14ac:dyDescent="0.3">
      <c r="A5" s="51"/>
      <c r="B5" s="52"/>
      <c r="C5" s="52"/>
      <c r="D5" s="52"/>
      <c r="E5" s="52"/>
      <c r="F5" s="52"/>
      <c r="G5" s="52"/>
      <c r="H5" s="52"/>
      <c r="I5" s="52"/>
      <c r="J5" s="53"/>
      <c r="K5" s="7"/>
    </row>
    <row r="6" spans="1:11" x14ac:dyDescent="0.25">
      <c r="A6" s="74" t="s">
        <v>14</v>
      </c>
      <c r="B6" s="75"/>
      <c r="C6" s="75"/>
      <c r="D6" s="75"/>
      <c r="E6" s="75"/>
      <c r="F6" s="75"/>
      <c r="G6" s="75"/>
      <c r="H6" s="75"/>
      <c r="I6" s="75"/>
      <c r="J6" s="76"/>
    </row>
    <row r="7" spans="1:11" ht="15.75" thickBot="1" x14ac:dyDescent="0.3">
      <c r="A7" s="77"/>
      <c r="B7" s="78"/>
      <c r="C7" s="78"/>
      <c r="D7" s="78"/>
      <c r="E7" s="78"/>
      <c r="F7" s="78"/>
      <c r="G7" s="78"/>
      <c r="H7" s="78"/>
      <c r="I7" s="78"/>
      <c r="J7" s="79"/>
    </row>
    <row r="8" spans="1:11" ht="24" customHeight="1" x14ac:dyDescent="0.25">
      <c r="A8" s="30" t="s">
        <v>32</v>
      </c>
      <c r="B8" s="22" t="s">
        <v>20</v>
      </c>
      <c r="C8" s="23" t="s">
        <v>21</v>
      </c>
      <c r="D8" s="23" t="s">
        <v>22</v>
      </c>
      <c r="E8" s="22" t="s">
        <v>23</v>
      </c>
      <c r="F8" s="22" t="s">
        <v>24</v>
      </c>
      <c r="G8" s="22" t="s">
        <v>25</v>
      </c>
      <c r="H8" s="24" t="s">
        <v>26</v>
      </c>
      <c r="I8" s="20" t="s">
        <v>30</v>
      </c>
      <c r="J8" s="21" t="s">
        <v>27</v>
      </c>
    </row>
    <row r="9" spans="1:11" x14ac:dyDescent="0.25">
      <c r="A9" s="33">
        <v>1</v>
      </c>
      <c r="B9" s="11"/>
      <c r="C9" s="11"/>
      <c r="D9" s="12"/>
      <c r="E9" s="11"/>
      <c r="F9" s="13"/>
      <c r="G9" s="14"/>
      <c r="H9" s="15"/>
      <c r="I9" s="15"/>
      <c r="J9" s="31">
        <f>G9*H9 + I9</f>
        <v>0</v>
      </c>
    </row>
    <row r="10" spans="1:11" x14ac:dyDescent="0.25">
      <c r="A10" s="33">
        <v>2</v>
      </c>
      <c r="B10" s="11"/>
      <c r="C10" s="11"/>
      <c r="D10" s="12"/>
      <c r="E10" s="11"/>
      <c r="F10" s="13"/>
      <c r="G10" s="14"/>
      <c r="H10" s="15"/>
      <c r="I10" s="15"/>
      <c r="J10" s="31">
        <f t="shared" ref="J10:J26" si="0">G10*H10 + I10</f>
        <v>0</v>
      </c>
    </row>
    <row r="11" spans="1:11" x14ac:dyDescent="0.25">
      <c r="A11" s="33">
        <v>3</v>
      </c>
      <c r="B11" s="11"/>
      <c r="C11" s="11"/>
      <c r="D11" s="12"/>
      <c r="E11" s="11"/>
      <c r="F11" s="13"/>
      <c r="G11" s="14"/>
      <c r="H11" s="15"/>
      <c r="I11" s="15"/>
      <c r="J11" s="31">
        <f t="shared" si="0"/>
        <v>0</v>
      </c>
    </row>
    <row r="12" spans="1:11" x14ac:dyDescent="0.25">
      <c r="A12" s="33">
        <v>4</v>
      </c>
      <c r="B12" s="11"/>
      <c r="C12" s="11"/>
      <c r="D12" s="12"/>
      <c r="E12" s="11"/>
      <c r="F12" s="13"/>
      <c r="G12" s="14"/>
      <c r="H12" s="15"/>
      <c r="I12" s="15"/>
      <c r="J12" s="31">
        <f t="shared" si="0"/>
        <v>0</v>
      </c>
    </row>
    <row r="13" spans="1:11" x14ac:dyDescent="0.25">
      <c r="A13" s="33">
        <v>5</v>
      </c>
      <c r="B13" s="11"/>
      <c r="C13" s="11"/>
      <c r="D13" s="12"/>
      <c r="E13" s="11"/>
      <c r="F13" s="13"/>
      <c r="G13" s="14"/>
      <c r="H13" s="15"/>
      <c r="I13" s="15"/>
      <c r="J13" s="31">
        <f t="shared" si="0"/>
        <v>0</v>
      </c>
    </row>
    <row r="14" spans="1:11" x14ac:dyDescent="0.25">
      <c r="A14" s="33">
        <v>6</v>
      </c>
      <c r="B14" s="11"/>
      <c r="C14" s="11"/>
      <c r="D14" s="12"/>
      <c r="E14" s="11"/>
      <c r="F14" s="13"/>
      <c r="G14" s="14"/>
      <c r="H14" s="15"/>
      <c r="I14" s="15"/>
      <c r="J14" s="31">
        <f t="shared" si="0"/>
        <v>0</v>
      </c>
    </row>
    <row r="15" spans="1:11" x14ac:dyDescent="0.25">
      <c r="A15" s="33">
        <v>7</v>
      </c>
      <c r="B15" s="11"/>
      <c r="C15" s="11"/>
      <c r="D15" s="12"/>
      <c r="E15" s="11"/>
      <c r="F15" s="13"/>
      <c r="G15" s="14"/>
      <c r="H15" s="15"/>
      <c r="I15" s="15"/>
      <c r="J15" s="31">
        <f t="shared" si="0"/>
        <v>0</v>
      </c>
    </row>
    <row r="16" spans="1:11" x14ac:dyDescent="0.25">
      <c r="A16" s="33">
        <v>8</v>
      </c>
      <c r="B16" s="11"/>
      <c r="C16" s="11"/>
      <c r="D16" s="12"/>
      <c r="E16" s="11"/>
      <c r="F16" s="13"/>
      <c r="G16" s="14"/>
      <c r="H16" s="15"/>
      <c r="I16" s="15"/>
      <c r="J16" s="31">
        <f t="shared" si="0"/>
        <v>0</v>
      </c>
    </row>
    <row r="17" spans="1:10" x14ac:dyDescent="0.25">
      <c r="A17" s="33">
        <v>9</v>
      </c>
      <c r="B17" s="11"/>
      <c r="C17" s="11"/>
      <c r="D17" s="12"/>
      <c r="E17" s="11"/>
      <c r="F17" s="13"/>
      <c r="G17" s="14"/>
      <c r="H17" s="15"/>
      <c r="I17" s="15"/>
      <c r="J17" s="31">
        <f t="shared" si="0"/>
        <v>0</v>
      </c>
    </row>
    <row r="18" spans="1:10" x14ac:dyDescent="0.25">
      <c r="A18" s="33">
        <v>10</v>
      </c>
      <c r="B18" s="11"/>
      <c r="C18" s="11"/>
      <c r="D18" s="12"/>
      <c r="E18" s="11"/>
      <c r="F18" s="13"/>
      <c r="G18" s="14"/>
      <c r="H18" s="15"/>
      <c r="I18" s="15"/>
      <c r="J18" s="31">
        <f t="shared" si="0"/>
        <v>0</v>
      </c>
    </row>
    <row r="19" spans="1:10" x14ac:dyDescent="0.25">
      <c r="A19" s="33">
        <v>11</v>
      </c>
      <c r="B19" s="11"/>
      <c r="C19" s="11"/>
      <c r="D19" s="12"/>
      <c r="E19" s="11"/>
      <c r="F19" s="13"/>
      <c r="G19" s="14"/>
      <c r="H19" s="15"/>
      <c r="I19" s="15"/>
      <c r="J19" s="31">
        <f t="shared" si="0"/>
        <v>0</v>
      </c>
    </row>
    <row r="20" spans="1:10" x14ac:dyDescent="0.25">
      <c r="A20" s="33">
        <v>12</v>
      </c>
      <c r="B20" s="11"/>
      <c r="C20" s="11"/>
      <c r="D20" s="12"/>
      <c r="E20" s="11"/>
      <c r="F20" s="13"/>
      <c r="G20" s="14"/>
      <c r="H20" s="15"/>
      <c r="I20" s="15"/>
      <c r="J20" s="31">
        <f t="shared" si="0"/>
        <v>0</v>
      </c>
    </row>
    <row r="21" spans="1:10" x14ac:dyDescent="0.25">
      <c r="A21" s="33">
        <v>13</v>
      </c>
      <c r="B21" s="11"/>
      <c r="C21" s="11"/>
      <c r="D21" s="12"/>
      <c r="E21" s="11"/>
      <c r="F21" s="13"/>
      <c r="G21" s="14"/>
      <c r="H21" s="15"/>
      <c r="I21" s="15"/>
      <c r="J21" s="31">
        <f t="shared" si="0"/>
        <v>0</v>
      </c>
    </row>
    <row r="22" spans="1:10" x14ac:dyDescent="0.25">
      <c r="A22" s="33">
        <v>14</v>
      </c>
      <c r="B22" s="11"/>
      <c r="C22" s="11"/>
      <c r="D22" s="12"/>
      <c r="E22" s="11"/>
      <c r="F22" s="13"/>
      <c r="G22" s="14"/>
      <c r="H22" s="15"/>
      <c r="I22" s="15"/>
      <c r="J22" s="31">
        <f t="shared" si="0"/>
        <v>0</v>
      </c>
    </row>
    <row r="23" spans="1:10" x14ac:dyDescent="0.25">
      <c r="A23" s="33">
        <v>15</v>
      </c>
      <c r="B23" s="11"/>
      <c r="C23" s="11"/>
      <c r="D23" s="12"/>
      <c r="E23" s="11"/>
      <c r="F23" s="13"/>
      <c r="G23" s="14"/>
      <c r="H23" s="15"/>
      <c r="I23" s="15"/>
      <c r="J23" s="31">
        <f t="shared" si="0"/>
        <v>0</v>
      </c>
    </row>
    <row r="24" spans="1:10" x14ac:dyDescent="0.25">
      <c r="A24" s="33">
        <v>16</v>
      </c>
      <c r="B24" s="11"/>
      <c r="C24" s="11"/>
      <c r="D24" s="12"/>
      <c r="E24" s="11"/>
      <c r="F24" s="13"/>
      <c r="G24" s="14"/>
      <c r="H24" s="15"/>
      <c r="I24" s="15"/>
      <c r="J24" s="31">
        <f t="shared" si="0"/>
        <v>0</v>
      </c>
    </row>
    <row r="25" spans="1:10" x14ac:dyDescent="0.25">
      <c r="A25" s="33">
        <v>17</v>
      </c>
      <c r="B25" s="11"/>
      <c r="C25" s="11"/>
      <c r="D25" s="12"/>
      <c r="E25" s="11"/>
      <c r="F25" s="13"/>
      <c r="G25" s="14"/>
      <c r="H25" s="15"/>
      <c r="I25" s="15"/>
      <c r="J25" s="31">
        <f t="shared" si="0"/>
        <v>0</v>
      </c>
    </row>
    <row r="26" spans="1:10" x14ac:dyDescent="0.25">
      <c r="A26" s="33">
        <v>18</v>
      </c>
      <c r="B26" s="11"/>
      <c r="C26" s="11"/>
      <c r="D26" s="12"/>
      <c r="E26" s="11"/>
      <c r="F26" s="13"/>
      <c r="G26" s="14"/>
      <c r="H26" s="15"/>
      <c r="I26" s="15"/>
      <c r="J26" s="31">
        <f t="shared" si="0"/>
        <v>0</v>
      </c>
    </row>
    <row r="27" spans="1:10" ht="9.9499999999999993" customHeight="1" x14ac:dyDescent="0.25">
      <c r="A27" s="80"/>
      <c r="B27" s="39"/>
      <c r="C27" s="39"/>
      <c r="D27" s="39"/>
      <c r="E27" s="39"/>
      <c r="F27" s="39"/>
      <c r="G27" s="39"/>
      <c r="H27" s="39"/>
      <c r="I27" s="39"/>
      <c r="J27" s="40"/>
    </row>
    <row r="28" spans="1:10" ht="24" customHeight="1" x14ac:dyDescent="0.25">
      <c r="A28" s="71" t="s">
        <v>29</v>
      </c>
      <c r="B28" s="72"/>
      <c r="C28" s="72"/>
      <c r="D28" s="72"/>
      <c r="E28" s="72"/>
      <c r="F28" s="72"/>
      <c r="G28" s="72"/>
      <c r="H28" s="72"/>
      <c r="I28" s="73"/>
      <c r="J28" s="32">
        <f>SUM(J9:J26)</f>
        <v>0</v>
      </c>
    </row>
  </sheetData>
  <mergeCells count="8">
    <mergeCell ref="A28:I28"/>
    <mergeCell ref="B1:J1"/>
    <mergeCell ref="B2:J2"/>
    <mergeCell ref="B3:J3"/>
    <mergeCell ref="B4:J4"/>
    <mergeCell ref="A5:J5"/>
    <mergeCell ref="A6:J7"/>
    <mergeCell ref="A27:J2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BC5842-282C-4BD4-A2DD-6DA6C80C12AC}">
          <x14:formula1>
            <xm:f>'Vendor List'!$A$3:$A$11</xm:f>
          </x14:formula1>
          <xm:sqref>D9:D26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25C0-A554-4A7D-80C6-7EB9FCD60E18}">
  <sheetPr>
    <tabColor theme="5" tint="0.79998168889431442"/>
  </sheetPr>
  <dimension ref="A1:A13"/>
  <sheetViews>
    <sheetView workbookViewId="0">
      <selection activeCell="D9" sqref="D9"/>
    </sheetView>
  </sheetViews>
  <sheetFormatPr defaultRowHeight="15.75" x14ac:dyDescent="0.25"/>
  <cols>
    <col min="1" max="1" width="35.28515625" style="3" customWidth="1"/>
  </cols>
  <sheetData>
    <row r="1" spans="1:1" ht="15" x14ac:dyDescent="0.25">
      <c r="A1" s="81" t="s">
        <v>0</v>
      </c>
    </row>
    <row r="2" spans="1:1" ht="21" customHeight="1" x14ac:dyDescent="0.25">
      <c r="A2" s="81"/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15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8</v>
      </c>
    </row>
    <row r="10" spans="1:1" x14ac:dyDescent="0.25">
      <c r="A10" s="3" t="s">
        <v>1</v>
      </c>
    </row>
    <row r="11" spans="1:1" x14ac:dyDescent="0.25">
      <c r="A11" s="3" t="s">
        <v>7</v>
      </c>
    </row>
    <row r="13" spans="1:1" x14ac:dyDescent="0.25">
      <c r="A13" s="4"/>
    </row>
  </sheetData>
  <sortState xmlns:xlrd2="http://schemas.microsoft.com/office/spreadsheetml/2017/richdata2" ref="A3:A10">
    <sortCondition ref="A3:A10"/>
  </sortState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Capstone Budget Tracking</vt:lpstr>
      <vt:lpstr>PO1</vt:lpstr>
      <vt:lpstr>PO2</vt:lpstr>
      <vt:lpstr>PO3</vt:lpstr>
      <vt:lpstr>PO4</vt:lpstr>
      <vt:lpstr>PO5</vt:lpstr>
      <vt:lpstr>PO6</vt:lpstr>
      <vt:lpstr>PO7</vt:lpstr>
      <vt:lpstr>Vendor List</vt:lpstr>
    </vt:vector>
  </TitlesOfParts>
  <Company>Liberty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Rowe, Valda (School of Engineering and Computational Sciences)</dc:creator>
  <cp:lastModifiedBy>Nathan Bruckner</cp:lastModifiedBy>
  <dcterms:created xsi:type="dcterms:W3CDTF">2024-07-25T13:04:16Z</dcterms:created>
  <dcterms:modified xsi:type="dcterms:W3CDTF">2025-11-18T03:16:17Z</dcterms:modified>
</cp:coreProperties>
</file>